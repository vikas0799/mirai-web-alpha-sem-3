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00 Orgs" sheetId="2" state="visible" r:id="rId4"/>
    <sheet name="Programs" sheetId="3" state="visible" r:id="rId5"/>
    <sheet name="Events Calendar" sheetId="4" state="visible" r:id="rId6"/>
    <sheet name="AI Roadmap" sheetId="5" state="visible" r:id="rId7"/>
    <sheet name="AI Tools" sheetId="6" state="visible" r:id="rId8"/>
    <sheet name="AI Policies" sheetId="7" state="visible" r:id="rId9"/>
    <sheet name="Monthly Plan" sheetId="8" state="visible" r:id="rId10"/>
    <sheet name="My 10 Repos" sheetId="9" state="visible" r:id="rId11"/>
    <sheet name="Git Cheatsheet" sheetId="10" state="visible" r:id="rId12"/>
    <sheet name="Resources" sheetId="11" state="visible" r:id="rId13"/>
  </sheets>
  <definedNames>
    <definedName function="false" hidden="true" localSheetId="1" name="_xlnm._FilterDatabase" vbProcedure="false">'100 Orgs'!$A$4:$S$104</definedName>
    <definedName function="false" hidden="true" localSheetId="3" name="_xlnm._FilterDatabase" vbProcedure="false">'Events Calendar'!$A$4:$I$58</definedName>
    <definedName function="false" hidden="true" localSheetId="2" name="_xlnm._FilterDatabase" vbProcedure="false">Programs!$A$4:$L$40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AI_POLICY.md = rules for humans using AI. AGENTS.md = instructions that AI coding agents read automatically. Read both if present.</t>
        </r>
      </text>
    </comment>
    <comment ref="J4" authorId="0">
      <text>
        <r>
          <rPr>
            <sz val="10"/>
            <rFont val="Arial"/>
            <family val="2"/>
          </rPr>
          <t xml:space="preserve">Commits on the default branch between 1 Sep and 1 Oct 2026 (git history, checked 1 Oct 2026). Mailing-list projects use GitHub mirrors.</t>
        </r>
      </text>
    </comment>
    <comment ref="K4" authorId="0">
      <text>
        <r>
          <rPr>
            <sz val="10"/>
            <rFont val="Arial"/>
            <family val="2"/>
          </rPr>
          <t xml:space="preserve">Unique commit author emails in Sep 2026, excluding bot accounts.</t>
        </r>
      </text>
    </comment>
    <comment ref="M4" authorId="0">
      <text>
        <r>
          <rPr>
            <sz val="10"/>
            <rFont val="Arial"/>
            <family val="2"/>
          </rPr>
          <t xml:space="preserve">Yes = more than half of recent commits carry 'Signed-off-by' (use git commit -s).</t>
        </r>
      </text>
    </comment>
    <comment ref="N4" authorId="0">
      <text>
        <r>
          <rPr>
            <sz val="10"/>
            <rFont val="Arial"/>
            <family val="2"/>
          </rPr>
          <t xml:space="preserve">Yes = more than half of recent commit titles look like 'fix: ...' / 'feat(scope): ...'.</t>
        </r>
      </text>
    </comment>
  </commentList>
</comments>
</file>

<file path=xl/sharedStrings.xml><?xml version="1.0" encoding="utf-8"?>
<sst xmlns="http://schemas.openxmlformats.org/spreadsheetml/2006/main" count="2971" uniqueCount="1478">
  <si>
    <t xml:space="preserve">Open Source Contribution Guide (GSoC + LFX)</t>
  </si>
  <si>
    <t xml:space="preserve">All-in-one workbook for 2nd and 3rd year CS students. Updated 1 October 2026. Dates marked 'expected' are projections from past years.</t>
  </si>
  <si>
    <t xml:space="preserve">Sheets in this workbook</t>
  </si>
  <si>
    <t xml:space="preserve">100 Orgs</t>
  </si>
  <si>
    <t xml:space="preserve">100 organisations for open-source contribution, split into Beginner / Intermediate / Advanced, with GSoC/LFX 2026 participation, starter repo, links and real September 2026 activity.</t>
  </si>
  <si>
    <t xml:space="preserve">Programs</t>
  </si>
  <si>
    <t xml:space="preserve">36 programs (paid and unpaid): stipend for India, eligibility, 2026 dates, next window, and status (incl. discontinued ones).</t>
  </si>
  <si>
    <t xml:space="preserve">Events Calendar</t>
  </si>
  <si>
    <t xml:space="preserve">Open-source events Oct 2026 to Nov 2027: contribution drives, conferences, CFP deadlines, Indian community events.</t>
  </si>
  <si>
    <t xml:space="preserve">AI Roadmap</t>
  </si>
  <si>
    <t xml:space="preserve">20-step workflow: fork -&gt; clone -&gt; understand with AI -&gt; fix -&gt; test -&gt; commit -&gt; PR -&gt; CI -&gt; review -&gt; merge -&gt; apply.</t>
  </si>
  <si>
    <t xml:space="preserve">AI Tools</t>
  </si>
  <si>
    <t xml:space="preserve">AI coding tools and what students can use for free in Oct 2026.</t>
  </si>
  <si>
    <t xml:space="preserve">AI Policies</t>
  </si>
  <si>
    <t xml:space="preserve">What GSoC, Outreachy, Kubernetes, Linux, Jaeger, Zulip and others allow or ban.</t>
  </si>
  <si>
    <t xml:space="preserve">Monthly Plan</t>
  </si>
  <si>
    <t xml:space="preserve">Month-by-month plan Oct 2026 to Sep 2027 aimed at LFX 2027 and GSoC 2027.</t>
  </si>
  <si>
    <t xml:space="preserve">My 10 Repos</t>
  </si>
  <si>
    <t xml:space="preserve">The 10 best-fit repos picked earlier (+3 backups), with a personal tracker.</t>
  </si>
  <si>
    <t xml:space="preserve">Git Cheatsheet</t>
  </si>
  <si>
    <t xml:space="preserve">Commands you will use for every PR.</t>
  </si>
  <si>
    <t xml:space="preserve">Resources</t>
  </si>
  <si>
    <t xml:space="preserve">Your 5 reference links plus issue finders and learning material.</t>
  </si>
  <si>
    <t xml:space="preserve">Tier meaning</t>
  </si>
  <si>
    <t xml:space="preserve">Beginner</t>
  </si>
  <si>
    <t xml:space="preserve">Web/Python/mobile stacks, strong newcomer docs, many small issues, quick setup. Start here in 2nd year.</t>
  </si>
  <si>
    <t xml:space="preserve">Intermediate</t>
  </si>
  <si>
    <t xml:space="preserve">Cloud-native (Go/Kubernetes), ML, bigger codebases, strict CI (DCO, conventional commits). Good for 3rd year / second org.</t>
  </si>
  <si>
    <t xml:space="preserve">Advanced</t>
  </si>
  <si>
    <t xml:space="preserve">Systems work (C/C++/Rust), compilers, kernels, multimedia, science. Often patches by mailing list and strict review.</t>
  </si>
  <si>
    <t xml:space="preserve">Big changes in 2026 (read first)</t>
  </si>
  <si>
    <t xml:space="preserve">-</t>
  </si>
  <si>
    <t xml:space="preserve">LFX stipend for India is now $1,300 total (new PPP-based model from 1 Jul 2026).</t>
  </si>
  <si>
    <t xml:space="preserve">GSoC stipend for India: $750 / $1,500 / $3,000 for small / medium / large projects. GSoC now has an official AI guidance page.</t>
  </si>
  <si>
    <t xml:space="preserve">Hacktoberfest 2026: pull requests NO LONGER count for rewards. Rewards come from events and challenges.</t>
  </si>
  <si>
    <t xml:space="preserve">MLH Fellowship is not open to India / Asia-Pacific right now.</t>
  </si>
  <si>
    <t xml:space="preserve">Outreachy: Indian university students can apply only for the May cohort; past GSoC contributors are not eligible.</t>
  </si>
  <si>
    <t xml:space="preserve">Google Season of Docs, X.Org EVoC and FOSSASIA Codeheat are no longer running.</t>
  </si>
  <si>
    <t xml:space="preserve">Many projects now have AI rules (AI_POLICY.md, AGENTS.md). Some ban AI code completely. Always check before using AI.</t>
  </si>
  <si>
    <t xml:space="preserve">Your progress (from the 100 Orgs sheet)</t>
  </si>
  <si>
    <t xml:space="preserve">Beginner orgs</t>
  </si>
  <si>
    <t xml:space="preserve">Intermediate orgs</t>
  </si>
  <si>
    <t xml:space="preserve">Advanced orgs</t>
  </si>
  <si>
    <t xml:space="preserve">Orgs in GSoC 2026</t>
  </si>
  <si>
    <t xml:space="preserve">Orgs in LFX / LF mentorships 2026</t>
  </si>
  <si>
    <t xml:space="preserve">Orgs where you have a PR merged</t>
  </si>
  <si>
    <t xml:space="preserve">How to use</t>
  </si>
  <si>
    <t xml:space="preserve">Filter the '100 Orgs' sheet by Tier and Tech stack. Pick 2-3 orgs, not 10.</t>
  </si>
  <si>
    <t xml:space="preserve">Yellow columns are yours to fill (status dropdown + notes). Example: Status = 'First PR open', Notes = 'PR #4521, waiting for review'.</t>
  </si>
  <si>
    <t xml:space="preserve">Activity numbers are real: commits on the main branch from 1 Sep to 1 Oct 2026, and the number of human commit authors.</t>
  </si>
  <si>
    <t xml:space="preserve">Program and event dates change. Always confirm on the official link before applying.</t>
  </si>
  <si>
    <t xml:space="preserve">Sources: official program sites, cncf/mentoring, GSoC 2026 org list, and each repository's git history (checked 1 Oct 2026).</t>
  </si>
  <si>
    <t xml:space="preserve">100 Organisations for Open Source Contribution</t>
  </si>
  <si>
    <t xml:space="preserve">Tier = suggested difficulty for GSoC/LFX preparation. Activity = main-branch commits 1 Sep-1 Oct 2026. Checked 1 October 2026.</t>
  </si>
  <si>
    <t xml:space="preserve">#</t>
  </si>
  <si>
    <t xml:space="preserve">Organisation / Project</t>
  </si>
  <si>
    <t xml:space="preserve">Tier</t>
  </si>
  <si>
    <t xml:space="preserve">Programs (2026)</t>
  </si>
  <si>
    <t xml:space="preserve">Tech stack</t>
  </si>
  <si>
    <t xml:space="preserve">Starter repo (GitHub)</t>
  </si>
  <si>
    <t xml:space="preserve">Good-first issues</t>
  </si>
  <si>
    <t xml:space="preserve">Contributing guide</t>
  </si>
  <si>
    <t xml:space="preserve">AI rules file</t>
  </si>
  <si>
    <t xml:space="preserve">Commits (Sep 2026)</t>
  </si>
  <si>
    <t xml:space="preserve">Active human authors</t>
  </si>
  <si>
    <t xml:space="preserve">Last commit</t>
  </si>
  <si>
    <t xml:space="preserve">DCO sign-off used</t>
  </si>
  <si>
    <t xml:space="preserve">Conventional commits</t>
  </si>
  <si>
    <t xml:space="preserve">Where you contribute</t>
  </si>
  <si>
    <t xml:space="preserve">Why / tips</t>
  </si>
  <si>
    <t xml:space="preserve">Default branch</t>
  </si>
  <si>
    <t xml:space="preserve">My status</t>
  </si>
  <si>
    <t xml:space="preserve">My notes</t>
  </si>
  <si>
    <t xml:space="preserve">Oppia Foundation</t>
  </si>
  <si>
    <t xml:space="preserve">GSoC 2026</t>
  </si>
  <si>
    <t xml:space="preserve">Angular, TypeScript, Python</t>
  </si>
  <si>
    <t xml:space="preserve">oppia/oppia</t>
  </si>
  <si>
    <t xml:space="preserve">Open list</t>
  </si>
  <si>
    <t xml:space="preserve">.github/CONTRIBUTING.md</t>
  </si>
  <si>
    <t xml:space="preserve">AGENTS.md</t>
  </si>
  <si>
    <t xml:space="preserve">2026-09-30</t>
  </si>
  <si>
    <t xml:space="preserve">No</t>
  </si>
  <si>
    <t xml:space="preserve">GitHub PRs</t>
  </si>
  <si>
    <t xml:space="preserve">Big newcomer program, 30+ good-first issues, detailed wiki. AI allowed, but you stay responsible for every line.</t>
  </si>
  <si>
    <t xml:space="preserve">develop</t>
  </si>
  <si>
    <t xml:space="preserve">Not started</t>
  </si>
  <si>
    <t xml:space="preserve">Zulip</t>
  </si>
  <si>
    <t xml:space="preserve">Python/Django, TypeScript</t>
  </si>
  <si>
    <t xml:space="preserve">zulip/zulip</t>
  </si>
  <si>
    <t xml:space="preserve">CONTRIBUTING.md</t>
  </si>
  <si>
    <t xml:space="preserve">Known for strong mentoring. Ask on chat.zulip.org. High code-quality bar; AI-written messages not allowed.</t>
  </si>
  <si>
    <t xml:space="preserve">main</t>
  </si>
  <si>
    <t xml:space="preserve">Meshery</t>
  </si>
  <si>
    <t xml:space="preserve">GSoC 2026 + LFX 2026 (T1, T2, T3)</t>
  </si>
  <si>
    <t xml:space="preserve">React/Next.js, Go</t>
  </si>
  <si>
    <t xml:space="preserve">meshery/meshery</t>
  </si>
  <si>
    <t xml:space="preserve">Yes</t>
  </si>
  <si>
    <t xml:space="preserve">Largest newcomer community in cloud native; weekly newcomer meetings; DCO sign-off needed.</t>
  </si>
  <si>
    <t xml:space="preserve">master</t>
  </si>
  <si>
    <t xml:space="preserve">Jaeger (CNCF)</t>
  </si>
  <si>
    <t xml:space="preserve">GSoC 2026 (via CNCF) + LFX 2026 (T1, T2, T3)</t>
  </si>
  <si>
    <t xml:space="preserve">React, TypeScript</t>
  </si>
  <si>
    <t xml:space="preserve">jaegertracing/jaeger-ui</t>
  </si>
  <si>
    <t xml:space="preserve">Fresh good-first issues. First-timers may have only 1 open PR. Read AI_POLICY.md.</t>
  </si>
  <si>
    <t xml:space="preserve">Open Healthcare Network</t>
  </si>
  <si>
    <t xml:space="preserve">ohcnetwork/care_fe</t>
  </si>
  <si>
    <t xml:space="preserve">See README / docs</t>
  </si>
  <si>
    <t xml:space="preserve">2026-09-29</t>
  </si>
  <si>
    <t xml:space="preserve">Indian org (Kerala). Real healthcare product used in hospitals; many UI issues.</t>
  </si>
  <si>
    <t xml:space="preserve">CircuitVerse</t>
  </si>
  <si>
    <t xml:space="preserve">Vue, TypeScript (Rails backend)</t>
  </si>
  <si>
    <t xml:space="preserve">CircuitVerse/cv-frontend-vue</t>
  </si>
  <si>
    <t xml:space="preserve">Digital-logic simulator. Good fit for web-dev students.</t>
  </si>
  <si>
    <t xml:space="preserve">API Dash</t>
  </si>
  <si>
    <t xml:space="preserve">Flutter, Dart</t>
  </si>
  <si>
    <t xml:space="preserve">foss42/apidash</t>
  </si>
  <si>
    <t xml:space="preserve">2026-09-22</t>
  </si>
  <si>
    <t xml:space="preserve">Indian-origin API client. Clear ideas list and active Discord.</t>
  </si>
  <si>
    <t xml:space="preserve">Kiwix</t>
  </si>
  <si>
    <t xml:space="preserve">JavaScript</t>
  </si>
  <si>
    <t xml:space="preserve">kiwix/kiwix-js</t>
  </si>
  <si>
    <t xml:space="preserve">None found</t>
  </si>
  <si>
    <t xml:space="preserve">2026-09-25</t>
  </si>
  <si>
    <t xml:space="preserve">Offline Wikipedia reader. Small, readable codebase.</t>
  </si>
  <si>
    <t xml:space="preserve">OpenMRS</t>
  </si>
  <si>
    <t xml:space="preserve">openmrs/openmrs-esm-patient-chart</t>
  </si>
  <si>
    <t xml:space="preserve">Jira + GitHub PRs</t>
  </si>
  <si>
    <t xml:space="preserve">Medical records system. Issues live in OpenMRS Jira (O3 tickets); discuss on talk.openmrs.org.</t>
  </si>
  <si>
    <t xml:space="preserve">Internet Archive</t>
  </si>
  <si>
    <t xml:space="preserve">Python, JavaScript</t>
  </si>
  <si>
    <t xml:space="preserve">internetarchive/openlibrary</t>
  </si>
  <si>
    <t xml:space="preserve">Open Library has some of the best newcomer docs anywhere.</t>
  </si>
  <si>
    <t xml:space="preserve">Wagtail</t>
  </si>
  <si>
    <t xml:space="preserve">Python/Django, JavaScript</t>
  </si>
  <si>
    <t xml:space="preserve">wagtail/wagtail</t>
  </si>
  <si>
    <t xml:space="preserve">Popular Django CMS with friendly reviewers.</t>
  </si>
  <si>
    <t xml:space="preserve">Sugar Labs</t>
  </si>
  <si>
    <t xml:space="preserve">sugarlabs/musicblocks</t>
  </si>
  <si>
    <t xml:space="preserve">Education software. Many small, well-scoped issues.</t>
  </si>
  <si>
    <t xml:space="preserve">Learning Equality</t>
  </si>
  <si>
    <t xml:space="preserve">Python/Django, Vue</t>
  </si>
  <si>
    <t xml:space="preserve">learningequality/kolibri</t>
  </si>
  <si>
    <t xml:space="preserve">Offline-first education platform.</t>
  </si>
  <si>
    <t xml:space="preserve">Processing Foundation</t>
  </si>
  <si>
    <t xml:space="preserve">processing/p5.js</t>
  </si>
  <si>
    <t xml:space="preserve">Creative-coding library. Docs and reference issues are a great first step.</t>
  </si>
  <si>
    <t xml:space="preserve">OWASP Foundation</t>
  </si>
  <si>
    <t xml:space="preserve">TypeScript, Node.js, Angular</t>
  </si>
  <si>
    <t xml:space="preserve">juice-shop/juice-shop</t>
  </si>
  <si>
    <t xml:space="preserve">2026-09-26</t>
  </si>
  <si>
    <t xml:space="preserve">Deliberately insecure web app for learning security. Great for web devs.</t>
  </si>
  <si>
    <t xml:space="preserve">JSON Schema</t>
  </si>
  <si>
    <t xml:space="preserve">Next.js, TypeScript</t>
  </si>
  <si>
    <t xml:space="preserve">json-schema-org/website</t>
  </si>
  <si>
    <t xml:space="preserve">Website and tooling for the JSON Schema spec. Active Slack.</t>
  </si>
  <si>
    <t xml:space="preserve">Accord Project</t>
  </si>
  <si>
    <t xml:space="preserve">accordproject/template-playground</t>
  </si>
  <si>
    <t xml:space="preserve">Smart legal contracts. Small repos, quick reviews.</t>
  </si>
  <si>
    <t xml:space="preserve">Rocket.Chat</t>
  </si>
  <si>
    <t xml:space="preserve">TypeScript, React, Node.js</t>
  </si>
  <si>
    <t xml:space="preserve">RocketChat/Rocket.Chat</t>
  </si>
  <si>
    <t xml:space="preserve">Large monorepo. Good-first labels are old, so pick recent bugs.</t>
  </si>
  <si>
    <t xml:space="preserve">Jitsi</t>
  </si>
  <si>
    <t xml:space="preserve">React, JavaScript</t>
  </si>
  <si>
    <t xml:space="preserve">jitsi/jitsi-meet</t>
  </si>
  <si>
    <t xml:space="preserve">Open-source video conferencing. Ask on the community forum.</t>
  </si>
  <si>
    <t xml:space="preserve">Submitty</t>
  </si>
  <si>
    <t xml:space="preserve">PHP, Python, TypeScript</t>
  </si>
  <si>
    <t xml:space="preserve">Submitty/Submitty</t>
  </si>
  <si>
    <t xml:space="preserve">Course-grading platform from RPI. Many starter issues.</t>
  </si>
  <si>
    <t xml:space="preserve">omegaUp</t>
  </si>
  <si>
    <t xml:space="preserve">PHP, TypeScript, Vue</t>
  </si>
  <si>
    <t xml:space="preserve">omegaup/omegaup</t>
  </si>
  <si>
    <t xml:space="preserve">Competitive-programming platform used by students.</t>
  </si>
  <si>
    <t xml:space="preserve">AnkiDroid</t>
  </si>
  <si>
    <t xml:space="preserve">Kotlin, Android</t>
  </si>
  <si>
    <t xml:space="preserve">ankidroid/Anki-Android</t>
  </si>
  <si>
    <t xml:space="preserve">AI_POLICY.md</t>
  </si>
  <si>
    <t xml:space="preserve">Flashcards app; very welcoming to first-time Android contributors.</t>
  </si>
  <si>
    <t xml:space="preserve">JabRef</t>
  </si>
  <si>
    <t xml:space="preserve">Java</t>
  </si>
  <si>
    <t xml:space="preserve">JabRef/jabref</t>
  </si>
  <si>
    <t xml:space="preserve">Reference manager with a well-known newcomer pipeline.</t>
  </si>
  <si>
    <t xml:space="preserve">MetaBrainz Foundation</t>
  </si>
  <si>
    <t xml:space="preserve">Python, React</t>
  </si>
  <si>
    <t xml:space="preserve">metabrainz/listenbrainz-server</t>
  </si>
  <si>
    <t xml:space="preserve">Open music data (MusicBrainz, ListenBrainz).</t>
  </si>
  <si>
    <t xml:space="preserve">OpenStreetMap</t>
  </si>
  <si>
    <t xml:space="preserve">openstreetmap/iD</t>
  </si>
  <si>
    <t xml:space="preserve">The main web map editor for OpenStreetMap.</t>
  </si>
  <si>
    <t xml:space="preserve">SymPy</t>
  </si>
  <si>
    <t xml:space="preserve">Python</t>
  </si>
  <si>
    <t xml:space="preserve">sympy/sympy</t>
  </si>
  <si>
    <t xml:space="preserve">Many 'Easy to Fix' issues; math-heavy for bigger projects.</t>
  </si>
  <si>
    <t xml:space="preserve">stdlib</t>
  </si>
  <si>
    <t xml:space="preserve">JavaScript, C</t>
  </si>
  <si>
    <t xml:space="preserve">stdlib-js/stdlib</t>
  </si>
  <si>
    <t xml:space="preserve">Hundreds of small tasks, but strict conventions. Read the guide first.</t>
  </si>
  <si>
    <t xml:space="preserve">FOSSASIA</t>
  </si>
  <si>
    <t xml:space="preserve">fossasia/eventyay</t>
  </si>
  <si>
    <t xml:space="preserve">agents.md</t>
  </si>
  <si>
    <t xml:space="preserve">Asian open-source community; event-management platform.</t>
  </si>
  <si>
    <t xml:space="preserve">dev</t>
  </si>
  <si>
    <t xml:space="preserve">The Mifos Initiative</t>
  </si>
  <si>
    <t xml:space="preserve">Angular, TypeScript</t>
  </si>
  <si>
    <t xml:space="preserve">openMF/web-app</t>
  </si>
  <si>
    <t xml:space="preserve">Fintech for financial inclusion.</t>
  </si>
  <si>
    <t xml:space="preserve">AOSSIE</t>
  </si>
  <si>
    <t xml:space="preserve">Python, React, Tauri</t>
  </si>
  <si>
    <t xml:space="preserve">AOSSIE-Org/PictoPy</t>
  </si>
  <si>
    <t xml:space="preserve">2026-09-27</t>
  </si>
  <si>
    <t xml:space="preserve">Many Indian contributors; several small repos to choose from.</t>
  </si>
  <si>
    <t xml:space="preserve">Learning Unlimited</t>
  </si>
  <si>
    <t xml:space="preserve">Python/Django</t>
  </si>
  <si>
    <t xml:space="preserve">learning-unlimited/ESP-Website</t>
  </si>
  <si>
    <t xml:space="preserve">2026-09-24</t>
  </si>
  <si>
    <t xml:space="preserve">Website that runs education programs for school students.</t>
  </si>
  <si>
    <t xml:space="preserve">freeCodeCamp</t>
  </si>
  <si>
    <t xml:space="preserve">Practice (not in GSoC/LFX)</t>
  </si>
  <si>
    <t xml:space="preserve">freeCodeCamp/freeCodeCamp</t>
  </si>
  <si>
    <t xml:space="preserve">Best place for a very first PR. Strict contributing rules teach good habits.</t>
  </si>
  <si>
    <t xml:space="preserve">Hoppscotch</t>
  </si>
  <si>
    <t xml:space="preserve">TypeScript, Vue</t>
  </si>
  <si>
    <t xml:space="preserve">hoppscotch/hoppscotch</t>
  </si>
  <si>
    <t xml:space="preserve">Indian-origin open-source API tool. Good web-dev practice.</t>
  </si>
  <si>
    <t xml:space="preserve">Headlamp (Kubernetes SIG UI)</t>
  </si>
  <si>
    <t xml:space="preserve">LFX 2026 (T3)</t>
  </si>
  <si>
    <t xml:space="preserve">React, TypeScript, Go</t>
  </si>
  <si>
    <t xml:space="preserve">kubernetes-sigs/headlamp</t>
  </si>
  <si>
    <t xml:space="preserve">5 LFX projects in Term 3. Needs the CNCF CLA. Good-first issues get claimed fast.</t>
  </si>
  <si>
    <t xml:space="preserve">OpenEverest (Percona)</t>
  </si>
  <si>
    <t xml:space="preserve">LFX 2026 (T2, T3)</t>
  </si>
  <si>
    <t xml:space="preserve">TypeScript/React, Go</t>
  </si>
  <si>
    <t xml:space="preserve">openeverest/openeverest</t>
  </si>
  <si>
    <t xml:space="preserve">Database platform on Kubernetes. Fresh UI good-first issues.</t>
  </si>
  <si>
    <t xml:space="preserve">PipeCD</t>
  </si>
  <si>
    <t xml:space="preserve">Go, TypeScript</t>
  </si>
  <si>
    <t xml:space="preserve">pipe-cd/pipecd</t>
  </si>
  <si>
    <t xml:space="preserve">2026-09-28</t>
  </si>
  <si>
    <t xml:space="preserve">GitOps continuous delivery. DCO sign-off needed.</t>
  </si>
  <si>
    <t xml:space="preserve">Kubescape (ARMO)</t>
  </si>
  <si>
    <t xml:space="preserve">Go</t>
  </si>
  <si>
    <t xml:space="preserve">kubescape/kubescape</t>
  </si>
  <si>
    <t xml:space="preserve">Kubernetes security scanner. Very high merge volume.</t>
  </si>
  <si>
    <t xml:space="preserve">Kyverno (Nirmata)</t>
  </si>
  <si>
    <t xml:space="preserve">LFX 2026 (T1, T2, T3)</t>
  </si>
  <si>
    <t xml:space="preserve">kyverno/kyverno</t>
  </si>
  <si>
    <t xml:space="preserve">Kubernetes policy engine. Conventional commits + DCO.</t>
  </si>
  <si>
    <t xml:space="preserve">Kubeflow</t>
  </si>
  <si>
    <t xml:space="preserve">GSoC 2026 + LFX 2026 (T3)</t>
  </si>
  <si>
    <t xml:space="preserve">Python, Go, TypeScript</t>
  </si>
  <si>
    <t xml:space="preserve">kubeflow/pipelines</t>
  </si>
  <si>
    <t xml:space="preserve">ML platform on Kubernetes. Very active merging.</t>
  </si>
  <si>
    <t xml:space="preserve">KubeEdge</t>
  </si>
  <si>
    <t xml:space="preserve">kubeedge/kubeedge</t>
  </si>
  <si>
    <t xml:space="preserve">2026-09-23</t>
  </si>
  <si>
    <t xml:space="preserve">Kubernetes for edge devices. Also see kubeedge/ianvs (Python).</t>
  </si>
  <si>
    <t xml:space="preserve">Volcano</t>
  </si>
  <si>
    <t xml:space="preserve">volcano-sh/kthena</t>
  </si>
  <si>
    <t xml:space="preserve">Batch/AI scheduler for Kubernetes. Kthena (LLM serving) is the most active repo; main repo is volcano-sh/volcano.</t>
  </si>
  <si>
    <t xml:space="preserve">KubeVela</t>
  </si>
  <si>
    <t xml:space="preserve">LFX 2026 (T2)</t>
  </si>
  <si>
    <t xml:space="preserve">kubevela/kubevela</t>
  </si>
  <si>
    <t xml:space="preserve">Application delivery platform on Kubernetes.</t>
  </si>
  <si>
    <t xml:space="preserve">LitmusChaos</t>
  </si>
  <si>
    <t xml:space="preserve">LFX 2026 (T1)</t>
  </si>
  <si>
    <t xml:space="preserve">Go, React</t>
  </si>
  <si>
    <t xml:space="preserve">litmuschaos/litmus</t>
  </si>
  <si>
    <t xml:space="preserve">Chaos engineering. Has a web UI (ChaosCenter).</t>
  </si>
  <si>
    <t xml:space="preserve">Harbor</t>
  </si>
  <si>
    <t xml:space="preserve">Go, Angular</t>
  </si>
  <si>
    <t xml:space="preserve">goharbor/harbor</t>
  </si>
  <si>
    <t xml:space="preserve">Container registry. Angular UI + Go backend.</t>
  </si>
  <si>
    <t xml:space="preserve">Lima</t>
  </si>
  <si>
    <t xml:space="preserve">lima-vm/lima</t>
  </si>
  <si>
    <t xml:space="preserve">Linux VMs on macOS (used by many container tools). Very active.</t>
  </si>
  <si>
    <t xml:space="preserve">OpenTelemetry</t>
  </si>
  <si>
    <t xml:space="preserve">TypeScript</t>
  </si>
  <si>
    <t xml:space="preserve">open-telemetry/opentelemetry-js</t>
  </si>
  <si>
    <t xml:space="preserve">Observability standard. JS SDK is the easiest entry for web devs.</t>
  </si>
  <si>
    <t xml:space="preserve">OpenKruise</t>
  </si>
  <si>
    <t xml:space="preserve">openkruise/agents</t>
  </si>
  <si>
    <t xml:space="preserve">Kubernetes workloads. openkruise/agents (LFX T3) is the active repo; main repo is openkruise/kruise.</t>
  </si>
  <si>
    <t xml:space="preserve">KubeArmor</t>
  </si>
  <si>
    <t xml:space="preserve">Go, eBPF</t>
  </si>
  <si>
    <t xml:space="preserve">kubearmor/KubeArmor</t>
  </si>
  <si>
    <t xml:space="preserve">Runtime security with eBPF/LSM.</t>
  </si>
  <si>
    <t xml:space="preserve">Kuadrant</t>
  </si>
  <si>
    <t xml:space="preserve">Kuadrant/kuadrant-operator</t>
  </si>
  <si>
    <t xml:space="preserve">API gateway policies for Kubernetes. Very active.</t>
  </si>
  <si>
    <t xml:space="preserve">Microcks</t>
  </si>
  <si>
    <t xml:space="preserve">Java, Angular</t>
  </si>
  <si>
    <t xml:space="preserve">microcks/microcks</t>
  </si>
  <si>
    <t xml:space="preserve">API mocking and testing.</t>
  </si>
  <si>
    <t xml:space="preserve">Apicurio (Red Hat)</t>
  </si>
  <si>
    <t xml:space="preserve">Java, React</t>
  </si>
  <si>
    <t xml:space="preserve">Apicurio/apicurio-registry</t>
  </si>
  <si>
    <t xml:space="preserve">Schema/API registry. 4 LFX projects in Term 3.</t>
  </si>
  <si>
    <t xml:space="preserve">krkn (Chaos)</t>
  </si>
  <si>
    <t xml:space="preserve">LFX 2026 (T1, T2)</t>
  </si>
  <si>
    <t xml:space="preserve">krkn-chaos/krkn</t>
  </si>
  <si>
    <t xml:space="preserve">Chaos testing for Kubernetes/OpenShift, in Python.</t>
  </si>
  <si>
    <t xml:space="preserve">Jenkins</t>
  </si>
  <si>
    <t xml:space="preserve">Java, JavaScript</t>
  </si>
  <si>
    <t xml:space="preserve">jenkinsci/jenkins</t>
  </si>
  <si>
    <t xml:space="preserve">CI/CD server. Strict AI policy (two strikes). Uses GitHub issues now.</t>
  </si>
  <si>
    <t xml:space="preserve">Joplin</t>
  </si>
  <si>
    <t xml:space="preserve">TypeScript, React Native</t>
  </si>
  <si>
    <t xml:space="preserve">laurent22/joplin</t>
  </si>
  <si>
    <t xml:space="preserve">CONTRIBUTING</t>
  </si>
  <si>
    <t xml:space="preserve">Note-taking app. Read Joplin's GSoC rules before starting.</t>
  </si>
  <si>
    <t xml:space="preserve">webpack</t>
  </si>
  <si>
    <t xml:space="preserve">webpack/webpack</t>
  </si>
  <si>
    <t xml:space="preserve">Core JS bundler. Needs solid JS/Node skills.</t>
  </si>
  <si>
    <t xml:space="preserve">Gemini CLI (Google)</t>
  </si>
  <si>
    <t xml:space="preserve">google-gemini/gemini-cli</t>
  </si>
  <si>
    <t xml:space="preserve">Open-source AI terminal agent (Apache-2.0).</t>
  </si>
  <si>
    <t xml:space="preserve">Django Software Foundation</t>
  </si>
  <si>
    <t xml:space="preserve">django/django</t>
  </si>
  <si>
    <t xml:space="preserve">CONTRIBUTING.rst</t>
  </si>
  <si>
    <t xml:space="preserve">Trac tickets + GitHub PRs</t>
  </si>
  <si>
    <t xml:space="preserve">Tickets live on Trac. Try Djangonaut Space first. AI use must be disclosed.</t>
  </si>
  <si>
    <t xml:space="preserve">checkstyle</t>
  </si>
  <si>
    <t xml:space="preserve">checkstyle/checkstyle</t>
  </si>
  <si>
    <t xml:space="preserve">Java linter with very strict CI. Good for learning discipline.</t>
  </si>
  <si>
    <t xml:space="preserve">cBioPortal</t>
  </si>
  <si>
    <t xml:space="preserve">cBioPortal/cbioportal-frontend</t>
  </si>
  <si>
    <t xml:space="preserve">Cancer genomics portal. React frontend.</t>
  </si>
  <si>
    <t xml:space="preserve">OpenWISP</t>
  </si>
  <si>
    <t xml:space="preserve">openwisp/openwisp-controller</t>
  </si>
  <si>
    <t xml:space="preserve">Network management. Friendly, well-documented.</t>
  </si>
  <si>
    <t xml:space="preserve">Neuroinformatics Unit</t>
  </si>
  <si>
    <t xml:space="preserve">neuroinformatics-unit/movement</t>
  </si>
  <si>
    <t xml:space="preserve">Python tools for analysing animal movement; small, friendly team.</t>
  </si>
  <si>
    <t xml:space="preserve">Kornia</t>
  </si>
  <si>
    <t xml:space="preserve">Python, PyTorch</t>
  </si>
  <si>
    <t xml:space="preserve">kornia/kornia</t>
  </si>
  <si>
    <t xml:space="preserve">Differentiable computer vision library.</t>
  </si>
  <si>
    <t xml:space="preserve">OpenVINO Toolkit (Intel)</t>
  </si>
  <si>
    <t xml:space="preserve">C++, Python</t>
  </si>
  <si>
    <t xml:space="preserve">openvinotoolkit/openvino</t>
  </si>
  <si>
    <t xml:space="preserve">AI_USAGE_POLICY.md</t>
  </si>
  <si>
    <t xml:space="preserve">Runs a large good-first-issue program. C++ heavy.</t>
  </si>
  <si>
    <t xml:space="preserve">Apache Software Foundation</t>
  </si>
  <si>
    <t xml:space="preserve">apache/airflow</t>
  </si>
  <si>
    <t xml:space="preserve">ASF has many projects; Airflow is a friendly Python entry point.</t>
  </si>
  <si>
    <t xml:space="preserve">Metasploit</t>
  </si>
  <si>
    <t xml:space="preserve">Ruby</t>
  </si>
  <si>
    <t xml:space="preserve">rapid7/metasploit-framework</t>
  </si>
  <si>
    <t xml:space="preserve">Penetration-testing framework. Good for security students.</t>
  </si>
  <si>
    <t xml:space="preserve">AboutCode</t>
  </si>
  <si>
    <t xml:space="preserve">aboutcode-org/scancode-toolkit</t>
  </si>
  <si>
    <t xml:space="preserve">2026-09-18</t>
  </si>
  <si>
    <t xml:space="preserve">License and code scanning tools.</t>
  </si>
  <si>
    <t xml:space="preserve">Graphite</t>
  </si>
  <si>
    <t xml:space="preserve">Rust, Svelte</t>
  </si>
  <si>
    <t xml:space="preserve">GraphiteEditor/Graphite</t>
  </si>
  <si>
    <t xml:space="preserve">2D graphics editor. Easiest Rust org for web devs.</t>
  </si>
  <si>
    <t xml:space="preserve">KDE Community</t>
  </si>
  <si>
    <t xml:space="preserve">C++, Qt</t>
  </si>
  <si>
    <t xml:space="preserve">KDE/kdenlive</t>
  </si>
  <si>
    <t xml:space="preserve">KDE GitLab (invent.kde.org)</t>
  </si>
  <si>
    <t xml:space="preserve">Work happens on invent.kde.org (GitLab). Season of KDE is a good start.</t>
  </si>
  <si>
    <t xml:space="preserve">PostgreSQL (pgAdmin)</t>
  </si>
  <si>
    <t xml:space="preserve">pgadmin-org/pgadmin4</t>
  </si>
  <si>
    <t xml:space="preserve">pgAdmin is the friendliest part of the PostgreSQL GSoC org.</t>
  </si>
  <si>
    <t xml:space="preserve">OpenAstronomy</t>
  </si>
  <si>
    <t xml:space="preserve">sunpy/sunpy</t>
  </si>
  <si>
    <t xml:space="preserve">Umbrella for astronomy projects; SunPy is a good start.</t>
  </si>
  <si>
    <t xml:space="preserve">Wikimedia Foundation</t>
  </si>
  <si>
    <t xml:space="preserve">PHP, JavaScript</t>
  </si>
  <si>
    <t xml:space="preserve">wikimedia/mediawiki</t>
  </si>
  <si>
    <t xml:space="preserve">Gerrit + Phabricator</t>
  </si>
  <si>
    <t xml:space="preserve">Code review on Gerrit, tasks on Phabricator (look for 'good first task').</t>
  </si>
  <si>
    <t xml:space="preserve">Open Food Facts</t>
  </si>
  <si>
    <t xml:space="preserve">openfoodfacts/smooth-app</t>
  </si>
  <si>
    <t xml:space="preserve">Food-product database. Mobile app is in Flutter.</t>
  </si>
  <si>
    <t xml:space="preserve">Kubernetes</t>
  </si>
  <si>
    <t xml:space="preserve">kubernetes/kubernetes</t>
  </si>
  <si>
    <t xml:space="preserve">Start with kubernetes/website (docs) or the Release Team Shadow program. AI co-author trailers not allowed.</t>
  </si>
  <si>
    <t xml:space="preserve">Prometheus</t>
  </si>
  <si>
    <t xml:space="preserve">prometheus/prometheus</t>
  </si>
  <si>
    <t xml:space="preserve">Monitoring system. Deep Go and time-series knowledge.</t>
  </si>
  <si>
    <t xml:space="preserve">Cilium</t>
  </si>
  <si>
    <t xml:space="preserve">Go, eBPF, C</t>
  </si>
  <si>
    <t xml:space="preserve">cilium/cilium</t>
  </si>
  <si>
    <t xml:space="preserve">eBPF networking. Linux networking knowledge needed.</t>
  </si>
  <si>
    <t xml:space="preserve">etcd</t>
  </si>
  <si>
    <t xml:space="preserve">etcd-io/etcd</t>
  </si>
  <si>
    <t xml:space="preserve">Distributed key-value store (Raft).</t>
  </si>
  <si>
    <t xml:space="preserve">WasmEdge</t>
  </si>
  <si>
    <t xml:space="preserve">C++, Rust</t>
  </si>
  <si>
    <t xml:space="preserve">WasmEdge/WasmEdge</t>
  </si>
  <si>
    <t xml:space="preserve">WebAssembly runtime. Many LFX slots every term.</t>
  </si>
  <si>
    <t xml:space="preserve">Podman (containers)</t>
  </si>
  <si>
    <t xml:space="preserve">containers/podman</t>
  </si>
  <si>
    <t xml:space="preserve">Container engine. Also try containers/podman.io (website) for easier tasks.</t>
  </si>
  <si>
    <t xml:space="preserve">KubeVirt</t>
  </si>
  <si>
    <t xml:space="preserve">kubevirt/kubevirt</t>
  </si>
  <si>
    <t xml:space="preserve">Virtual machines on Kubernetes.</t>
  </si>
  <si>
    <t xml:space="preserve">Linux Kernel (LKMP)</t>
  </si>
  <si>
    <t xml:space="preserve">LF Kernel Mentorship (LKMP) + GSoC 2026 (The Linux Foundation)</t>
  </si>
  <si>
    <t xml:space="preserve">C</t>
  </si>
  <si>
    <t xml:space="preserve">torvalds/linux</t>
  </si>
  <si>
    <t xml:space="preserve">Mailing list patches</t>
  </si>
  <si>
    <t xml:space="preserve">Patches by email only. Do the free LFD103 course first. AI must not add Signed-off-by.</t>
  </si>
  <si>
    <t xml:space="preserve">LLVM</t>
  </si>
  <si>
    <t xml:space="preserve">C++</t>
  </si>
  <si>
    <t xml:space="preserve">llvm/llvm-project</t>
  </si>
  <si>
    <t xml:space="preserve">Compilers. Policy: no AI for 'good first issue' tasks.</t>
  </si>
  <si>
    <t xml:space="preserve">GCC</t>
  </si>
  <si>
    <t xml:space="preserve">C, C++</t>
  </si>
  <si>
    <t xml:space="preserve">gcc-mirror/gcc</t>
  </si>
  <si>
    <t xml:space="preserve">Patches by mailing list. Declines LLM-generated code (Jul 2026).</t>
  </si>
  <si>
    <t xml:space="preserve">FFmpeg</t>
  </si>
  <si>
    <t xml:space="preserve">C, Assembly</t>
  </si>
  <si>
    <t xml:space="preserve">FFmpeg/FFmpeg</t>
  </si>
  <si>
    <t xml:space="preserve">code.ffmpeg.org / mailing list</t>
  </si>
  <si>
    <t xml:space="preserve">Multimedia. Qualification task required for GSoC.</t>
  </si>
  <si>
    <t xml:space="preserve">QEMU</t>
  </si>
  <si>
    <t xml:space="preserve">qemu/qemu</t>
  </si>
  <si>
    <t xml:space="preserve">Emulator. Bans AI-generated contributions.</t>
  </si>
  <si>
    <t xml:space="preserve">Git</t>
  </si>
  <si>
    <t xml:space="preserve">git/git</t>
  </si>
  <si>
    <t xml:space="preserve">Patches by email (GitGitGadget helps). Microprojects before GSoC.</t>
  </si>
  <si>
    <t xml:space="preserve">Rust Foundation</t>
  </si>
  <si>
    <t xml:space="preserve">Rust</t>
  </si>
  <si>
    <t xml:space="preserve">rust-lang/rust</t>
  </si>
  <si>
    <t xml:space="preserve">Rust compiler/tools. Look for E-easy labels.</t>
  </si>
  <si>
    <t xml:space="preserve">Blender Foundation</t>
  </si>
  <si>
    <t xml:space="preserve">blender/blender</t>
  </si>
  <si>
    <t xml:space="preserve">projects.blender.org (Gitea)</t>
  </si>
  <si>
    <t xml:space="preserve">3D suite. Work happens on projects.blender.org.</t>
  </si>
  <si>
    <t xml:space="preserve">LibreOffice</t>
  </si>
  <si>
    <t xml:space="preserve">LibreOffice/core</t>
  </si>
  <si>
    <t xml:space="preserve">Gerrit</t>
  </si>
  <si>
    <t xml:space="preserve">Code review on Gerrit. Start with 'Easy Hacks'.</t>
  </si>
  <si>
    <t xml:space="preserve">The Julia Language</t>
  </si>
  <si>
    <t xml:space="preserve">Julia, C</t>
  </si>
  <si>
    <t xml:space="preserve">JuliaLang/julia</t>
  </si>
  <si>
    <t xml:space="preserve">Scientific computing language. GSoC via Julia (JSoC).</t>
  </si>
  <si>
    <t xml:space="preserve">CERN-HSF</t>
  </si>
  <si>
    <t xml:space="preserve">root-project/root</t>
  </si>
  <si>
    <t xml:space="preserve">High-energy physics software umbrella; ROOT is the core.</t>
  </si>
  <si>
    <t xml:space="preserve">ArduPilot</t>
  </si>
  <si>
    <t xml:space="preserve">ArduPilot/ardupilot</t>
  </si>
  <si>
    <t xml:space="preserve">Drone autopilot. Embedded/robotics.</t>
  </si>
  <si>
    <t xml:space="preserve">FreeCAD</t>
  </si>
  <si>
    <t xml:space="preserve">FreeCAD/FreeCAD</t>
  </si>
  <si>
    <t xml:space="preserve">3D CAD modeller.</t>
  </si>
  <si>
    <t xml:space="preserve">Neovim</t>
  </si>
  <si>
    <t xml:space="preserve">C, Lua</t>
  </si>
  <si>
    <t xml:space="preserve">neovim/neovim</t>
  </si>
  <si>
    <t xml:space="preserve">Text editor internals.</t>
  </si>
  <si>
    <t xml:space="preserve">Ceph</t>
  </si>
  <si>
    <t xml:space="preserve">ceph/ceph</t>
  </si>
  <si>
    <t xml:space="preserve">Distributed storage. The dashboard (Angular) is easier.</t>
  </si>
  <si>
    <t xml:space="preserve">Open Robotics</t>
  </si>
  <si>
    <t xml:space="preserve">gazebosim/gz-sim</t>
  </si>
  <si>
    <t xml:space="preserve">Robot simulation (Gazebo/ROS).</t>
  </si>
  <si>
    <t xml:space="preserve">SageMath</t>
  </si>
  <si>
    <t xml:space="preserve">Python, Cython</t>
  </si>
  <si>
    <t xml:space="preserve">sagemath/sage</t>
  </si>
  <si>
    <t xml:space="preserve">Mathematics software. Maths background helps.</t>
  </si>
  <si>
    <t xml:space="preserve">Mixxx</t>
  </si>
  <si>
    <t xml:space="preserve">mixxxdj/mixxx</t>
  </si>
  <si>
    <t xml:space="preserve">DJ software. Audio + Qt.</t>
  </si>
  <si>
    <t xml:space="preserve">dora-rs</t>
  </si>
  <si>
    <t xml:space="preserve">dora-rs/dora</t>
  </si>
  <si>
    <t xml:space="preserve">Robotics/AI dataflow framework in Rust.</t>
  </si>
  <si>
    <t xml:space="preserve">Swift</t>
  </si>
  <si>
    <t xml:space="preserve">C++, Swift</t>
  </si>
  <si>
    <t xml:space="preserve">swiftlang/swift</t>
  </si>
  <si>
    <t xml:space="preserve">Swift compiler. Also runs an unpaid Swift Mentorship Program.</t>
  </si>
  <si>
    <t xml:space="preserve">LF Decentralized Trust (Hyperledger)</t>
  </si>
  <si>
    <t xml:space="preserve">LFDT Mentorship 2026 (LF)</t>
  </si>
  <si>
    <t xml:space="preserve">hyperledger/fabric</t>
  </si>
  <si>
    <t xml:space="preserve">Blockchain. LFDT runs its own part-time mentorship (Jun-Nov).</t>
  </si>
  <si>
    <t xml:space="preserve">Open Source Programs (paid and unpaid)</t>
  </si>
  <si>
    <t xml:space="preserve">Checked on official sites, 1 October 2026. 'Expected' dates are projections from past years.</t>
  </si>
  <si>
    <t xml:space="preserve">Program</t>
  </si>
  <si>
    <t xml:space="preserve">Type</t>
  </si>
  <si>
    <t xml:space="preserve">Organizer</t>
  </si>
  <si>
    <t xml:space="preserve">Stipend (India)</t>
  </si>
  <si>
    <t xml:space="preserve">Duration</t>
  </si>
  <si>
    <t xml:space="preserve">Eligibility / India notes</t>
  </si>
  <si>
    <t xml:space="preserve">2026 cycle</t>
  </si>
  <si>
    <t xml:space="preserve">Next window</t>
  </si>
  <si>
    <t xml:space="preserve">How to apply</t>
  </si>
  <si>
    <t xml:space="preserve">Official link</t>
  </si>
  <si>
    <t xml:space="preserve">Status</t>
  </si>
  <si>
    <t xml:space="preserve">Google Summer of Code (GSoC)</t>
  </si>
  <si>
    <t xml:space="preserve">Paid mentorship</t>
  </si>
  <si>
    <t xml:space="preserve">Google</t>
  </si>
  <si>
    <t xml:space="preserve">India: $750 (small, ~90 h) / $1,500 (medium, ~175 h) / $3,000 (large, ~350 h). Paid 45% after midterm, 55% after final.</t>
  </si>
  <si>
    <t xml:space="preserve">Standard 12 weeks; can be extended up to 22 weeks</t>
  </si>
  <si>
    <t xml:space="preserve">18+. Must be a student or an open-source beginner (see FAQ). Must not have been accepted into GSoC more than once before (so max 2 times). Up to 3 proposals; only 1 can be accepted.</t>
  </si>
  <si>
    <t xml:space="preserve">Org apps Jan 19-Feb 3; 185 orgs announced Feb 19 (184 took part); contributor apps Mar 16-31; results Apr 30 (1,141 contributors from 23,371 proposals); coding from May 25.</t>
  </si>
  <si>
    <t xml:space="preserve">2027 dates not announced. Expected: orgs announced ~late Feb 2027, contributor applications ~mid-late Mar 2027, coding ~late May 2027.</t>
  </si>
  <si>
    <t xml:space="preserve">Pick an org, talk to mentors, finish its pre-tasks, then submit up to 3 proposals on the GSoC site.</t>
  </si>
  <si>
    <t xml:space="preserve">https://summerofcode.withgoogle.com</t>
  </si>
  <si>
    <t xml:space="preserve">Active</t>
  </si>
  <si>
    <t xml:space="preserve">LFX Mentorship (incl. CNCF)</t>
  </si>
  <si>
    <t xml:space="preserve">Linux Foundation</t>
  </si>
  <si>
    <t xml:space="preserve">India: $1,300 total (new PPP-based model for programs starting on/after 1 Jul 2026; range $1,000-$6,600 worldwide). Paid in 2 parts.</t>
  </si>
  <si>
    <t xml:space="preserve">12 weeks full-time or 24 weeks part-time</t>
  </si>
  <si>
    <t xml:space="preserve">18+. Only one LF mentorship per person, ever. Max 3 applications per term.</t>
  </si>
  <si>
    <t xml:space="preserve">T1 Mar-May, T2 Jun-Aug, T3 Sep-Nov. 2026 T3: applications Aug 3-18, runs Sep 7-Nov 27.</t>
  </si>
  <si>
    <t xml:space="preserve">2027 Term 1 expected: projects listed ~mid-Jan, mentee applications ~late Jan-mid Feb 2027, program Mar-May 2027.</t>
  </si>
  <si>
    <t xml:space="preserve">Create an LFX mentee profile, apply to up to 3 projects with resume + cover letter + any tasks.</t>
  </si>
  <si>
    <t xml:space="preserve">https://mentorship.lfx.linuxfoundation.org</t>
  </si>
  <si>
    <t xml:space="preserve">Active (stipend model changed in 2026)</t>
  </si>
  <si>
    <t xml:space="preserve">Linux Kernel Mentorship Program (LKMP)</t>
  </si>
  <si>
    <t xml:space="preserve">Paid or unpaid (varies by session)</t>
  </si>
  <si>
    <t xml:space="preserve">Location-based where funded. Some sessions are unpaid (credit only).</t>
  </si>
  <si>
    <t xml:space="preserve">LFX rules. Must finish the free course LFD103 'A Beginner's Guide to Linux Kernel Development'. 4-week skill evaluation.</t>
  </si>
  <si>
    <t xml:space="preserve">Spring, Summer and Fall sessions.</t>
  </si>
  <si>
    <t xml:space="preserve">Spring 2027 expected: listings ~mid-Jan 2027, start ~Mar 2027.</t>
  </si>
  <si>
    <t xml:space="preserve">Do LFD103, apply on LFX, complete the evaluation tasks.</t>
  </si>
  <si>
    <t xml:space="preserve">https://wiki.linuxfoundation.org/lkmp</t>
  </si>
  <si>
    <t xml:space="preserve">LF Decentralized Trust (Hyperledger) Mentorship</t>
  </si>
  <si>
    <t xml:space="preserve">Paid (some unpaid)</t>
  </si>
  <si>
    <t xml:space="preserve">LF Decentralized Trust</t>
  </si>
  <si>
    <t xml:space="preserve">Tiered by country of residence; India amount not published for 2026.</t>
  </si>
  <si>
    <t xml:space="preserve">About 24 weeks part-time (Jun-Nov)</t>
  </si>
  <si>
    <t xml:space="preserve">18+, first-time LF mentee. Up to 3 applications.</t>
  </si>
  <si>
    <t xml:space="preserve">Mentee applications Mar 31-May 11, 2026; program Jun 15-Nov 30, 2026.</t>
  </si>
  <si>
    <t xml:space="preserve">Expected mentee applications ~Apr-May 2027.</t>
  </si>
  <si>
    <t xml:space="preserve">Apply on LFX with resume and cover letter answering their questions.</t>
  </si>
  <si>
    <t xml:space="preserve">https://lf-decentralized-trust-mentorships.github.io/mentorship-program/main/</t>
  </si>
  <si>
    <t xml:space="preserve">Open Mainframe Project Mentorship</t>
  </si>
  <si>
    <t xml:space="preserve">Paid (LF policy)</t>
  </si>
  <si>
    <t xml:space="preserve">Open Mainframe Project (LF)</t>
  </si>
  <si>
    <t xml:space="preserve">Not stated on the 2026 page.</t>
  </si>
  <si>
    <t xml:space="preserve">About 3 months (Jun-Aug)</t>
  </si>
  <si>
    <t xml:space="preserve">LFX rules; aimed at students.</t>
  </si>
  <si>
    <t xml:space="preserve">Apply by May 15, 2026; program Jun 1-Aug 31, 2026.</t>
  </si>
  <si>
    <t xml:space="preserve">Expected applications ~Apr-May 2027.</t>
  </si>
  <si>
    <t xml:space="preserve">Apply through the project links on LFX Mentorship.</t>
  </si>
  <si>
    <t xml:space="preserve">https://openmainframeproject.org/projects/mentorship/</t>
  </si>
  <si>
    <t xml:space="preserve">LF Networking (LFN) Mentorship</t>
  </si>
  <si>
    <t xml:space="preserve">Paid or unpaid</t>
  </si>
  <si>
    <t xml:space="preserve">LF Networking</t>
  </si>
  <si>
    <t xml:space="preserve">LF stipend policy for funded projects.</t>
  </si>
  <si>
    <t xml:space="preserve">12 weeks FT or 24 weeks PT</t>
  </si>
  <si>
    <t xml:space="preserve">18+, currently enrolled student, not a regular contributor to the project.</t>
  </si>
  <si>
    <t xml:space="preserve">Dates published per project on LFX.</t>
  </si>
  <si>
    <t xml:space="preserve">Follows the LF term calendar (Jan / Apr / Jul listings).</t>
  </si>
  <si>
    <t xml:space="preserve">Resume, cover letter and proof of enrollment via LFX.</t>
  </si>
  <si>
    <t xml:space="preserve">https://lf-networking.atlassian.net/wiki/spaces/LN/pages/15646470/For+Applicants</t>
  </si>
  <si>
    <t xml:space="preserve">Outreachy</t>
  </si>
  <si>
    <t xml:space="preserve">Paid internship</t>
  </si>
  <si>
    <t xml:space="preserve">Software Freedom Conservancy</t>
  </si>
  <si>
    <t xml:space="preserve">$7,000 total.</t>
  </si>
  <si>
    <t xml:space="preserve">13 weeks, 30 h/week</t>
  </si>
  <si>
    <t xml:space="preserve">For people facing under-representation in tech. Students at Indian universities can apply ONLY for the May-Aug cohort. Past GSoC contributors are not eligible.</t>
  </si>
  <si>
    <t xml:space="preserve">Dec 2026 cohort: initial applications closed Aug 31; contribution period Oct 5-Nov 2 (not open to Indian university students).</t>
  </si>
  <si>
    <t xml:space="preserve">May 2027 cohort expected: initial applications ~early-mid Feb 2027, contribution period ~mid-Mar to mid-Apr.</t>
  </si>
  <si>
    <t xml:space="preserve">Initial application (essays, no AI), then contribute to a project, then final application.</t>
  </si>
  <si>
    <t xml:space="preserve">https://www.outreachy.org</t>
  </si>
  <si>
    <t xml:space="preserve">MLH Fellowship</t>
  </si>
  <si>
    <t xml:space="preserve">Paid fellowship</t>
  </si>
  <si>
    <t xml:space="preserve">Major League Hacking</t>
  </si>
  <si>
    <t xml:space="preserve">Educational stipend (amount not published).</t>
  </si>
  <si>
    <t xml:space="preserve">12 weeks</t>
  </si>
  <si>
    <t xml:space="preserve">NOT currently open to India or any Asia-Pacific country (official FAQ).</t>
  </si>
  <si>
    <t xml:space="preserve">Check the FAQ; India not eligible at present.</t>
  </si>
  <si>
    <t xml:space="preserve">https://fellowship.mlh.com</t>
  </si>
  <si>
    <t xml:space="preserve">Not available for India</t>
  </si>
  <si>
    <t xml:space="preserve">C4GT Dedicated Mentoring Program (DMP)</t>
  </si>
  <si>
    <t xml:space="preserve">Code for Good Tech (formerly Code for GovTech), IIIT Hyderabad</t>
  </si>
  <si>
    <t xml:space="preserve">Rs 1,00,000</t>
  </si>
  <si>
    <t xml:space="preserve">About 3 months</t>
  </si>
  <si>
    <t xml:space="preserve">Student developers interested in tech for good.</t>
  </si>
  <si>
    <t xml:space="preserve">Applications opened April 2026.</t>
  </si>
  <si>
    <t xml:space="preserve">Expected DMP 2027 applications ~Apr-May 2027.</t>
  </si>
  <si>
    <t xml:space="preserve">Pick a DMP project from the list and apply on the C4GT platform.</t>
  </si>
  <si>
    <t xml:space="preserve">https://codeforgoodtech.in</t>
  </si>
  <si>
    <t xml:space="preserve">Active (renamed in 2026)</t>
  </si>
  <si>
    <t xml:space="preserve">Summer of Bitcoin</t>
  </si>
  <si>
    <t xml:space="preserve">$3,000-$6,600 equivalent paid in BTC, PPP-based (India amount not listed).</t>
  </si>
  <si>
    <t xml:space="preserve">University or high-school students with strong coding/design skills.</t>
  </si>
  <si>
    <t xml:space="preserve">Applications closed Feb 15, 2026; bootcamp Feb 16-Mar 20; proposals due Apr 20.</t>
  </si>
  <si>
    <t xml:space="preserve">Expected applications ~Jan-mid Feb 2027.</t>
  </si>
  <si>
    <t xml:space="preserve">Apply, finish the bootcamp challenges, write a proposal for a partner org.</t>
  </si>
  <si>
    <t xml:space="preserve">https://www.summerofbitcoin.org</t>
  </si>
  <si>
    <t xml:space="preserve">European Summer of Code (ESoC)</t>
  </si>
  <si>
    <t xml:space="preserve">Paid</t>
  </si>
  <si>
    <t xml:space="preserve">ESoC hubs (France, Germany, Italy)</t>
  </si>
  <si>
    <t xml:space="preserve">EUR 4,800 for 3 months full-time equivalent (pro-rata).</t>
  </si>
  <si>
    <t xml:space="preserve">Contributors new to open source, worldwide.</t>
  </si>
  <si>
    <t xml:space="preserve">Batch 1 applications Feb 18-Mar 19; batch 2 Apr 1-30, 2026.</t>
  </si>
  <si>
    <t xml:space="preserve">Expected applications from ~mid-Feb 2027.</t>
  </si>
  <si>
    <t xml:space="preserve">ESoC registration form, then project steps.</t>
  </si>
  <si>
    <t xml:space="preserve">https://www.esoc.dev</t>
  </si>
  <si>
    <t xml:space="preserve">Open Source Promotion Plan (OSPP, China)</t>
  </si>
  <si>
    <t xml:space="preserve">ISCAS</t>
  </si>
  <si>
    <t xml:space="preserve">CNY 3,500-10,000 depending on project mode (2026).</t>
  </si>
  <si>
    <t xml:space="preserve">Project-based</t>
  </si>
  <si>
    <t xml:space="preserve">University students 18+; foreign students allowed.</t>
  </si>
  <si>
    <t xml:space="preserve">Rolling applications in 2026.</t>
  </si>
  <si>
    <t xml:space="preserve">Expected launch ~Mar-Apr 2027.</t>
  </si>
  <si>
    <t xml:space="preserve">Register on the OSPP platform and email the mentor.</t>
  </si>
  <si>
    <t xml:space="preserve">https://summer-ospp.ac.cn</t>
  </si>
  <si>
    <t xml:space="preserve">Igalia Coding Experience</t>
  </si>
  <si>
    <t xml:space="preserve">Paid grant</t>
  </si>
  <si>
    <t xml:space="preserve">Igalia</t>
  </si>
  <si>
    <t xml:space="preserve">EUR 7,000 for 450 hours.</t>
  </si>
  <si>
    <t xml:space="preserve">3 or 6 months</t>
  </si>
  <si>
    <t xml:space="preserve">Students (formal or informal education) and career changers.</t>
  </si>
  <si>
    <t xml:space="preserve">Applications due Apr 3, 2026 (closed).</t>
  </si>
  <si>
    <t xml:space="preserve">Expected call ~Feb-Apr 2027.</t>
  </si>
  <si>
    <t xml:space="preserve">Application form on the Coding Experience page.</t>
  </si>
  <si>
    <t xml:space="preserve">https://www.igalia.com/coding-experience/</t>
  </si>
  <si>
    <t xml:space="preserve">Ethereum Protocol Fellowship (EPF)</t>
  </si>
  <si>
    <t xml:space="preserve">Paid for select participants</t>
  </si>
  <si>
    <t xml:space="preserve">Ethereum Foundation</t>
  </si>
  <si>
    <t xml:space="preserve">Monthly stipend for selected participants (amount not published).</t>
  </si>
  <si>
    <t xml:space="preserve">About 5 months</t>
  </si>
  <si>
    <t xml:space="preserve">Aspiring Ethereum protocol developers.</t>
  </si>
  <si>
    <t xml:space="preserve">Cohort 7: applications closed May 13, 2026; runs Jun-Nov 2026.</t>
  </si>
  <si>
    <t xml:space="preserve">Expected cohort 8 applications ~Apr-May 2027.</t>
  </si>
  <si>
    <t xml:space="preserve">Apply through the cohort repo.</t>
  </si>
  <si>
    <t xml:space="preserve">https://github.com/eth-protocol-fellows</t>
  </si>
  <si>
    <t xml:space="preserve">FOSSEE Summer Fellowship (IIT Bombay)</t>
  </si>
  <si>
    <t xml:space="preserve">Certificate</t>
  </si>
  <si>
    <t xml:space="preserve">FOSSEE, IIT Bombay</t>
  </si>
  <si>
    <t xml:space="preserve">Stipend not confirmed for 2026 (certificate).</t>
  </si>
  <si>
    <t xml:space="preserve">About 2 months (May-Jul)</t>
  </si>
  <si>
    <t xml:space="preserve">Students who pass a screening task.</t>
  </si>
  <si>
    <t xml:space="preserve">121 fellows in 2026.</t>
  </si>
  <si>
    <t xml:space="preserve">Expected screening tasks ~Mar-Apr 2027.</t>
  </si>
  <si>
    <t xml:space="preserve">Complete the screening task for a FOSSEE project.</t>
  </si>
  <si>
    <t xml:space="preserve">https://fossee.in/fellowship/2026</t>
  </si>
  <si>
    <t xml:space="preserve">Season of KDE</t>
  </si>
  <si>
    <t xml:space="preserve">Unpaid (certificate + swag)</t>
  </si>
  <si>
    <t xml:space="preserve">KDE community</t>
  </si>
  <si>
    <t xml:space="preserve">None</t>
  </si>
  <si>
    <t xml:space="preserve">About 8 weeks</t>
  </si>
  <si>
    <t xml:space="preserve">Open to all; code and non-code work.</t>
  </si>
  <si>
    <t xml:space="preserve">Applications Dec 15, 2025-Jan 14, 2026; work Jan 23-Mar 20.</t>
  </si>
  <si>
    <t xml:space="preserve">Expected applications ~mid-Dec 2026 to mid-Jan 2027.</t>
  </si>
  <si>
    <t xml:space="preserve">Pick a project idea, contact mentors, submit a proposal.</t>
  </si>
  <si>
    <t xml:space="preserve">https://mentorship.kde.org/sok/</t>
  </si>
  <si>
    <t xml:space="preserve">GirlScript Summer of Code (GSSoC)</t>
  </si>
  <si>
    <t xml:space="preserve">Unpaid (certificates, swag)</t>
  </si>
  <si>
    <t xml:space="preserve">GirlScript Foundation</t>
  </si>
  <si>
    <t xml:space="preserve">Free, open to all.</t>
  </si>
  <si>
    <t xml:space="preserve">Applications from Jan 20; contribution period May 15-Aug 15, 2026.</t>
  </si>
  <si>
    <t xml:space="preserve">Expected announcement ~Jan 2027.</t>
  </si>
  <si>
    <t xml:space="preserve">Apply on the GSSoC site.</t>
  </si>
  <si>
    <t xml:space="preserve">https://gssoc.girlscript.org</t>
  </si>
  <si>
    <t xml:space="preserve">Social Winter of Code (SWoC) Season 7</t>
  </si>
  <si>
    <t xml:space="preserve">Unpaid (certificate)</t>
  </si>
  <si>
    <t xml:space="preserve">SWoC</t>
  </si>
  <si>
    <t xml:space="preserve">Jan 1-Mar 30, 2027</t>
  </si>
  <si>
    <t xml:space="preserve">Anyone. Certificate after 2 qualifying merged PRs.</t>
  </si>
  <si>
    <t xml:space="preserve">Registration Aug 20-Dec 31, 2026.</t>
  </si>
  <si>
    <t xml:space="preserve">REGISTRATION OPEN NOW (till Dec 31, 2026); coding Jan 1-Mar 30, 2027.</t>
  </si>
  <si>
    <t xml:space="preserve">Google Form linked from swoc.in.</t>
  </si>
  <si>
    <t xml:space="preserve">https://www.swoc.in</t>
  </si>
  <si>
    <t xml:space="preserve">Open now</t>
  </si>
  <si>
    <t xml:space="preserve">Kharagpur Winter of Code (KWoC)</t>
  </si>
  <si>
    <t xml:space="preserve">KOSS, IIT Kharagpur</t>
  </si>
  <si>
    <t xml:space="preserve">About 5 weeks (Dec-Jan)</t>
  </si>
  <si>
    <t xml:space="preserve">Students from any institute. Need merged PRs + a blog post for the certificate.</t>
  </si>
  <si>
    <t xml:space="preserve">2026 edition not announced yet.</t>
  </si>
  <si>
    <t xml:space="preserve">Expected registration ~late Nov 2026; coding Dec 2026-Jan 2027.</t>
  </si>
  <si>
    <t xml:space="preserve">Register on the KWoC site.</t>
  </si>
  <si>
    <t xml:space="preserve">https://kwoc.kossiitkgp.org</t>
  </si>
  <si>
    <t xml:space="preserve">Expected</t>
  </si>
  <si>
    <t xml:space="preserve">Hacktoberfest 2026</t>
  </si>
  <si>
    <t xml:space="preserve">Swag / recognition</t>
  </si>
  <si>
    <t xml:space="preserve">MLH + DEV, with DigitalOcean</t>
  </si>
  <si>
    <t xml:space="preserve">Stickers (3 virtual stickers = physical sticker pack)</t>
  </si>
  <si>
    <t xml:space="preserve">October 2026</t>
  </si>
  <si>
    <t xml:space="preserve">13+. PRs and MRs NO LONGER COUNT for rewards in 2026.</t>
  </si>
  <si>
    <t xml:space="preserve">Earn virtual stickers through in-person Fests, livestreams, DEV challenges and MLH Global Hack Week.</t>
  </si>
  <si>
    <t xml:space="preserve">RUNNING NOW (October 2026).</t>
  </si>
  <si>
    <t xml:space="preserve">Sign in with MyMLH at hacktoberfest.com.</t>
  </si>
  <si>
    <t xml:space="preserve">https://hacktoberfest.com</t>
  </si>
  <si>
    <t xml:space="preserve">Active (rules changed)</t>
  </si>
  <si>
    <t xml:space="preserve">24 Pull Requests</t>
  </si>
  <si>
    <t xml:space="preserve">Recognition</t>
  </si>
  <si>
    <t xml:space="preserve">Community</t>
  </si>
  <si>
    <t xml:space="preserve">Dec 1-24, 2026</t>
  </si>
  <si>
    <t xml:space="preserve">Anyone.</t>
  </si>
  <si>
    <t xml:space="preserve">Runs every December.</t>
  </si>
  <si>
    <t xml:space="preserve">Dec 1-24, 2026.</t>
  </si>
  <si>
    <t xml:space="preserve">Sign in with GitHub and send PRs in December.</t>
  </si>
  <si>
    <t xml:space="preserve">https://24pullrequests.com</t>
  </si>
  <si>
    <t xml:space="preserve">Djangonaut Space</t>
  </si>
  <si>
    <t xml:space="preserve">Unpaid mentoring</t>
  </si>
  <si>
    <t xml:space="preserve">Django community</t>
  </si>
  <si>
    <t xml:space="preserve">8 weeks</t>
  </si>
  <si>
    <t xml:space="preserve">Open, no experience required (~10% accepted).</t>
  </si>
  <si>
    <t xml:space="preserve">Session 7 runs Oct 12-Dec 6, 2026.</t>
  </si>
  <si>
    <t xml:space="preserve">Expected Session 8 applications ~Jan 2027.</t>
  </si>
  <si>
    <t xml:space="preserve">Apply on djangonaut.space.</t>
  </si>
  <si>
    <t xml:space="preserve">https://djangonaut.space</t>
  </si>
  <si>
    <t xml:space="preserve">Kubernetes Release Team Shadow</t>
  </si>
  <si>
    <t xml:space="preserve">Unpaid (volunteer)</t>
  </si>
  <si>
    <t xml:space="preserve">Kubernetes SIG Release</t>
  </si>
  <si>
    <t xml:space="preserve">One release cycle (~13+ weeks)</t>
  </si>
  <si>
    <t xml:space="preserve">Anyone, including newcomers.</t>
  </si>
  <si>
    <t xml:space="preserve">v1.38 cycle began ~Aug 31, 2026.</t>
  </si>
  <si>
    <t xml:space="preserve">v1.39 shadow applications expected ~Dec 2026.</t>
  </si>
  <si>
    <t xml:space="preserve">Apply via the shadow form announced on the Kubernetes dev list.</t>
  </si>
  <si>
    <t xml:space="preserve">https://github.com/kubernetes/sig-release/blob/master/release-team/shadows.md</t>
  </si>
  <si>
    <t xml:space="preserve">Swift Mentorship Program</t>
  </si>
  <si>
    <t xml:space="preserve">Unpaid</t>
  </si>
  <si>
    <t xml:space="preserve">Swift.org</t>
  </si>
  <si>
    <t xml:space="preserve">10 weeks</t>
  </si>
  <si>
    <t xml:space="preserve">18+, students and non-students.</t>
  </si>
  <si>
    <t xml:space="preserve">Cohort Jul 6-Sep 11, 2026.</t>
  </si>
  <si>
    <t xml:space="preserve">Expected survey ~late May-Jun 2027.</t>
  </si>
  <si>
    <t xml:space="preserve">Fill the mentee survey.</t>
  </si>
  <si>
    <t xml:space="preserve">https://www.swift.org/mentorship/</t>
  </si>
  <si>
    <t xml:space="preserve">KubeStellar IFoS (Interns for Open Source)</t>
  </si>
  <si>
    <t xml:space="preserve">Unpaid internship</t>
  </si>
  <si>
    <t xml:space="preserve">KubeStellar</t>
  </si>
  <si>
    <t xml:space="preserve">None (certificate + recommendation letter)</t>
  </si>
  <si>
    <t xml:space="preserve">3 months, rolling</t>
  </si>
  <si>
    <t xml:space="preserve">Anyone. Graduates get priority for paid programs like LFX/GSoC.</t>
  </si>
  <si>
    <t xml:space="preserve">Rolling.</t>
  </si>
  <si>
    <t xml:space="preserve">Rolling (apply any time).</t>
  </si>
  <si>
    <t xml:space="preserve">Email resume + statement of interest and start contributing.</t>
  </si>
  <si>
    <t xml:space="preserve">https://kubestellar.io/en/programs/ifos</t>
  </si>
  <si>
    <t xml:space="preserve">Julia Seasons of Contributions (JSoC)</t>
  </si>
  <si>
    <t xml:space="preserve">Via GSoC</t>
  </si>
  <si>
    <t xml:space="preserve">Julia community</t>
  </si>
  <si>
    <t xml:space="preserve">Same as GSoC</t>
  </si>
  <si>
    <t xml:space="preserve">Same as GSoC.</t>
  </si>
  <si>
    <t xml:space="preserve">Runs through GSoC.</t>
  </si>
  <si>
    <t xml:space="preserve">Follows GSoC 2027.</t>
  </si>
  <si>
    <t xml:space="preserve">Apply via GSoC (Julia org).</t>
  </si>
  <si>
    <t xml:space="preserve">https://julialang.org/jsoc/</t>
  </si>
  <si>
    <t xml:space="preserve">Summer of Haskell</t>
  </si>
  <si>
    <t xml:space="preserve">Haskell.org</t>
  </si>
  <si>
    <t xml:space="preserve">GSoC 2026 concluded.</t>
  </si>
  <si>
    <t xml:space="preserve">Hopes to join GSoC 2027.</t>
  </si>
  <si>
    <t xml:space="preserve">Apply via GSoC.</t>
  </si>
  <si>
    <t xml:space="preserve">https://summer.haskell.org</t>
  </si>
  <si>
    <t xml:space="preserve">sktime mentoring</t>
  </si>
  <si>
    <t xml:space="preserve">sktime</t>
  </si>
  <si>
    <t xml:space="preserve">None (paid only via GSoC/ESoC)</t>
  </si>
  <si>
    <t xml:space="preserve">Rolling</t>
  </si>
  <si>
    <t xml:space="preserve">Anyone interested in time-series ML.</t>
  </si>
  <si>
    <t xml:space="preserve">Follow the mentoring repo.</t>
  </si>
  <si>
    <t xml:space="preserve">https://github.com/sktime/mentoring</t>
  </si>
  <si>
    <t xml:space="preserve">Processing Foundation microgrants</t>
  </si>
  <si>
    <t xml:space="preserve">Small paid grant</t>
  </si>
  <si>
    <t xml:space="preserve">$500 for ~10 hours of p5.js work</t>
  </si>
  <si>
    <t xml:space="preserve">Short</t>
  </si>
  <si>
    <t xml:space="preserve">Contributors to p5.js.</t>
  </si>
  <si>
    <t xml:space="preserve">Open program.</t>
  </si>
  <si>
    <t xml:space="preserve">Check the grants page.</t>
  </si>
  <si>
    <t xml:space="preserve">Apply on the grants page.</t>
  </si>
  <si>
    <t xml:space="preserve">https://processingfoundation.org/grants</t>
  </si>
  <si>
    <t xml:space="preserve">Nexus Spring of Code (NSoC)</t>
  </si>
  <si>
    <t xml:space="preserve">Prizes</t>
  </si>
  <si>
    <t xml:space="preserve">Community-run</t>
  </si>
  <si>
    <t xml:space="preserve">Prize pool (unverified)</t>
  </si>
  <si>
    <t xml:space="preserve">45 days</t>
  </si>
  <si>
    <t xml:space="preserve">Open.</t>
  </si>
  <si>
    <t xml:space="preserve">2026 dates unverified.</t>
  </si>
  <si>
    <t xml:space="preserve">Expected ~Mar-May 2027 (unverified).</t>
  </si>
  <si>
    <t xml:space="preserve">See site.</t>
  </si>
  <si>
    <t xml:space="preserve">https://www.nsoc.in</t>
  </si>
  <si>
    <t xml:space="preserve">Unverified</t>
  </si>
  <si>
    <t xml:space="preserve">Apertre</t>
  </si>
  <si>
    <t xml:space="preserve">Resourcio community</t>
  </si>
  <si>
    <t xml:space="preserve">Prizes for top contributors</t>
  </si>
  <si>
    <t xml:space="preserve">Varies</t>
  </si>
  <si>
    <t xml:space="preserve">Beginner-friendly, free.</t>
  </si>
  <si>
    <t xml:space="preserve">Dates unverified.</t>
  </si>
  <si>
    <t xml:space="preserve">Check the site.</t>
  </si>
  <si>
    <t xml:space="preserve">https://apertre.resourcio.in</t>
  </si>
  <si>
    <t xml:space="preserve">Google Season of Docs</t>
  </si>
  <si>
    <t xml:space="preserve">Ended after 2024.</t>
  </si>
  <si>
    <t xml:space="preserve">No 2026 or 2027 edition.</t>
  </si>
  <si>
    <t xml:space="preserve">https://developers.google.com/season-of-docs</t>
  </si>
  <si>
    <t xml:space="preserve">Discontinued</t>
  </si>
  <si>
    <t xml:space="preserve">X.Org EVoC</t>
  </si>
  <si>
    <t xml:space="preserve">X.Org</t>
  </si>
  <si>
    <t xml:space="preserve">Sunset; not accepting applications.</t>
  </si>
  <si>
    <t xml:space="preserve">https://www.x.org/wiki/XorgEVoC/</t>
  </si>
  <si>
    <t xml:space="preserve">FOSSASIA Codeheat</t>
  </si>
  <si>
    <t xml:space="preserve">Last ran Dec 2023-Mar 2024.</t>
  </si>
  <si>
    <t xml:space="preserve">No active edition.</t>
  </si>
  <si>
    <t xml:space="preserve">https://codeheat.org</t>
  </si>
  <si>
    <t xml:space="preserve">Inactive</t>
  </si>
  <si>
    <t xml:space="preserve">Google Code-in</t>
  </si>
  <si>
    <t xml:space="preserve">Cancelled in 2020.</t>
  </si>
  <si>
    <t xml:space="preserve">https://en.wikipedia.org/wiki/Google_Code-in</t>
  </si>
  <si>
    <t xml:space="preserve">FSF Internships</t>
  </si>
  <si>
    <t xml:space="preserve">Free Software Foundation</t>
  </si>
  <si>
    <t xml:space="preserve">Last posted deadline Nov 2023.</t>
  </si>
  <si>
    <t xml:space="preserve">No current call.</t>
  </si>
  <si>
    <t xml:space="preserve">Email the FSF.</t>
  </si>
  <si>
    <t xml:space="preserve">https://www.fsf.org/volunteer/internships</t>
  </si>
  <si>
    <t xml:space="preserve">No current call</t>
  </si>
  <si>
    <t xml:space="preserve">Open Source Events Calendar (Oct 2026 - Nov 2027)</t>
  </si>
  <si>
    <t xml:space="preserve">Sorted by date. Checked 1 October 2026. 'Expected' = not yet announced; based on the 2026 edition.</t>
  </si>
  <si>
    <t xml:space="preserve">Month</t>
  </si>
  <si>
    <t xml:space="preserve">Dates</t>
  </si>
  <si>
    <t xml:space="preserve">Event</t>
  </si>
  <si>
    <t xml:space="preserve">Location</t>
  </si>
  <si>
    <t xml:space="preserve">Why go / deadline</t>
  </si>
  <si>
    <t xml:space="preserve">Link</t>
  </si>
  <si>
    <t xml:space="preserve">Going?</t>
  </si>
  <si>
    <t xml:space="preserve">Oct 2026</t>
  </si>
  <si>
    <t xml:space="preserve">All of October 2026</t>
  </si>
  <si>
    <t xml:space="preserve">Contribution drive</t>
  </si>
  <si>
    <t xml:space="preserve">Online + 300+ in-person Fests</t>
  </si>
  <si>
    <t xml:space="preserve">PRs no longer count; earn stickers via Fests, livestreams, DEV challenges. Free.</t>
  </si>
  <si>
    <t xml:space="preserve">Oct 1-Dec 31, 2026</t>
  </si>
  <si>
    <t xml:space="preserve">Google DevFest 2026 season</t>
  </si>
  <si>
    <t xml:space="preserve">Community days</t>
  </si>
  <si>
    <t xml:space="preserve">800+ events worldwide</t>
  </si>
  <si>
    <t xml:space="preserve">Google Developer Groups</t>
  </si>
  <si>
    <t xml:space="preserve">Cheap/free local conferences. India dates below.</t>
  </si>
  <si>
    <t xml:space="preserve">https://developers.google.com/community/devfest</t>
  </si>
  <si>
    <t xml:space="preserve">Oct 5-7, 2026</t>
  </si>
  <si>
    <t xml:space="preserve">Linux Plumbers Conference 2026</t>
  </si>
  <si>
    <t xml:space="preserve">Conference</t>
  </si>
  <si>
    <t xml:space="preserve">Prague + remote</t>
  </si>
  <si>
    <t xml:space="preserve">LPC / Linux Foundation</t>
  </si>
  <si>
    <t xml:space="preserve">Kernel and systems talks; remote attendance possible.</t>
  </si>
  <si>
    <t xml:space="preserve">https://lpc.events</t>
  </si>
  <si>
    <t xml:space="preserve">Oct 7-8, 2026</t>
  </si>
  <si>
    <t xml:space="preserve">Open Source India (OSI Days) 2026</t>
  </si>
  <si>
    <t xml:space="preserve">NIMHANS, Bengaluru</t>
  </si>
  <si>
    <t xml:space="preserve">Open Source India</t>
  </si>
  <si>
    <t xml:space="preserve">Subsidised student pass; 6 tracks.</t>
  </si>
  <si>
    <t xml:space="preserve">https://www.opensourceindia.in</t>
  </si>
  <si>
    <t xml:space="preserve">Oct 7-9, 2026</t>
  </si>
  <si>
    <t xml:space="preserve">Open Source Summit Europe 2026</t>
  </si>
  <si>
    <t xml:space="preserve">Prague</t>
  </si>
  <si>
    <t xml:space="preserve">Watch recordings; scholarships closed.</t>
  </si>
  <si>
    <t xml:space="preserve">https://events.linuxfoundation.org/open-source-summit-europe/</t>
  </si>
  <si>
    <t xml:space="preserve">Oct 9-15, 2026</t>
  </si>
  <si>
    <t xml:space="preserve">MLH Global Hack Week: Hacktoberfest</t>
  </si>
  <si>
    <t xml:space="preserve">Online hack week</t>
  </si>
  <si>
    <t xml:space="preserve">Online</t>
  </si>
  <si>
    <t xml:space="preserve">MLH</t>
  </si>
  <si>
    <t xml:space="preserve">Free; counts toward Hacktoberfest stickers.</t>
  </si>
  <si>
    <t xml:space="preserve">https://ghw.mlh.com</t>
  </si>
  <si>
    <t xml:space="preserve">Oct 10, 2026</t>
  </si>
  <si>
    <t xml:space="preserve">DevFest Noida 2026</t>
  </si>
  <si>
    <t xml:space="preserve">Community day</t>
  </si>
  <si>
    <t xml:space="preserve">Greater Noida</t>
  </si>
  <si>
    <t xml:space="preserve">GDG Noida</t>
  </si>
  <si>
    <t xml:space="preserve">Local, low cost.</t>
  </si>
  <si>
    <t xml:space="preserve">https://gdg.community.dev/events/details/google-gdg-noida-presents-devfest-noida-2026/</t>
  </si>
  <si>
    <t xml:space="preserve">Oct 17, 2026</t>
  </si>
  <si>
    <t xml:space="preserve">DevFest Chennai 2026</t>
  </si>
  <si>
    <t xml:space="preserve">IIT Madras Research Park, Chennai</t>
  </si>
  <si>
    <t xml:space="preserve">GDG Chennai</t>
  </si>
  <si>
    <t xml:space="preserve">1,200+ attendees.</t>
  </si>
  <si>
    <t xml:space="preserve">https://devfest.gdgchennai.in</t>
  </si>
  <si>
    <t xml:space="preserve">Oct 19, 2026 (deadline)</t>
  </si>
  <si>
    <t xml:space="preserve">SciPy India 2026 CFP closes</t>
  </si>
  <si>
    <t xml:space="preserve">CFP deadline</t>
  </si>
  <si>
    <t xml:space="preserve">SciPy India</t>
  </si>
  <si>
    <t xml:space="preserve">Submit a talk/poster/workshop for Dec 19-20 at IIT Madras.</t>
  </si>
  <si>
    <t xml:space="preserve">https://scipy.in/2026/</t>
  </si>
  <si>
    <t xml:space="preserve">Oct 19-20, 2026</t>
  </si>
  <si>
    <t xml:space="preserve">All Things Open 2026</t>
  </si>
  <si>
    <t xml:space="preserve">Raleigh, USA</t>
  </si>
  <si>
    <t xml:space="preserve">All Things Open</t>
  </si>
  <si>
    <t xml:space="preserve">Student scholarship form; free co-located events.</t>
  </si>
  <si>
    <t xml:space="preserve">https://2026.allthingsopen.org</t>
  </si>
  <si>
    <t xml:space="preserve">Oct 24, 2026</t>
  </si>
  <si>
    <t xml:space="preserve">DevFest Hyderabad 2026</t>
  </si>
  <si>
    <t xml:space="preserve">JRC Convention, Hyderabad</t>
  </si>
  <si>
    <t xml:space="preserve">GDG Hyderabad</t>
  </si>
  <si>
    <t xml:space="preserve">3,000+ attendees.</t>
  </si>
  <si>
    <t xml:space="preserve">https://devfest.gdghyd.in</t>
  </si>
  <si>
    <t xml:space="preserve">Oct 25, 2026</t>
  </si>
  <si>
    <t xml:space="preserve">DevFest Baroda 2026</t>
  </si>
  <si>
    <t xml:space="preserve">Vadodara</t>
  </si>
  <si>
    <t xml:space="preserve">GDG Baroda</t>
  </si>
  <si>
    <t xml:space="preserve">Registration on KonfHub.</t>
  </si>
  <si>
    <t xml:space="preserve">https://gdg.community.dev/events/details/google-gdg-baroda-presents-devfest-baroda-2026/</t>
  </si>
  <si>
    <t xml:space="preserve">Oct 28-29, 2026</t>
  </si>
  <si>
    <t xml:space="preserve">GitHub Universe 2026</t>
  </si>
  <si>
    <t xml:space="preserve">San Francisco + free virtual pass</t>
  </si>
  <si>
    <t xml:space="preserve">GitHub</t>
  </si>
  <si>
    <t xml:space="preserve">Free virtual pass with live keynotes.</t>
  </si>
  <si>
    <t xml:space="preserve">https://githubuniverse.com</t>
  </si>
  <si>
    <t xml:space="preserve">Oct 28-30, 2026</t>
  </si>
  <si>
    <t xml:space="preserve">MozFest 2026</t>
  </si>
  <si>
    <t xml:space="preserve">Festival</t>
  </si>
  <si>
    <t xml:space="preserve">Barcelona</t>
  </si>
  <si>
    <t xml:space="preserve">Mozilla Foundation</t>
  </si>
  <si>
    <t xml:space="preserve">Tech and society.</t>
  </si>
  <si>
    <t xml:space="preserve">https://www.mozillafoundation.org/en/festival/</t>
  </si>
  <si>
    <t xml:space="preserve">Oct 29-31, 2026</t>
  </si>
  <si>
    <t xml:space="preserve">React India 2026</t>
  </si>
  <si>
    <t xml:space="preserve">Goa</t>
  </si>
  <si>
    <t xml:space="preserve">React India</t>
  </si>
  <si>
    <t xml:space="preserve">Scholarships and volunteer roles; announced as the final edition.</t>
  </si>
  <si>
    <t xml:space="preserve">https://www.reactindia.io</t>
  </si>
  <si>
    <t xml:space="preserve">Oct 31, 2026</t>
  </si>
  <si>
    <t xml:space="preserve">MumbaiFOSS 2026</t>
  </si>
  <si>
    <t xml:space="preserve">Community conference</t>
  </si>
  <si>
    <t xml:space="preserve">IIT Bombay, Powai</t>
  </si>
  <si>
    <t xml:space="preserve">FOSS United Mumbai</t>
  </si>
  <si>
    <t xml:space="preserve">Free/low cost; good place for a first talk.</t>
  </si>
  <si>
    <t xml:space="preserve">https://fossunited.org/c/mumbai</t>
  </si>
  <si>
    <t xml:space="preserve">Ongoing (monthly)</t>
  </si>
  <si>
    <t xml:space="preserve">FOSS United city meetups</t>
  </si>
  <si>
    <t xml:space="preserve">Meetup series</t>
  </si>
  <si>
    <t xml:space="preserve">Many Indian cities</t>
  </si>
  <si>
    <t xml:space="preserve">FOSS United chapters</t>
  </si>
  <si>
    <t xml:space="preserve">Free; student speakers welcome.</t>
  </si>
  <si>
    <t xml:space="preserve">https://fossunited.org/events/timeline</t>
  </si>
  <si>
    <t xml:space="preserve">Nov 2026</t>
  </si>
  <si>
    <t xml:space="preserve">Nov 1, 2026</t>
  </si>
  <si>
    <t xml:space="preserve">DevFest Gandhinagar 2026</t>
  </si>
  <si>
    <t xml:space="preserve">Gandhinagar</t>
  </si>
  <si>
    <t xml:space="preserve">GDG Gandhinagar</t>
  </si>
  <si>
    <t xml:space="preserve">Local.</t>
  </si>
  <si>
    <t xml:space="preserve">https://devfest.gdggandhinagar.dev</t>
  </si>
  <si>
    <t xml:space="preserve">Nov 6-12, 2026</t>
  </si>
  <si>
    <t xml:space="preserve">MLH Global Hack Week: Builders Week</t>
  </si>
  <si>
    <t xml:space="preserve">Free, beginner-friendly.</t>
  </si>
  <si>
    <t xml:space="preserve">Nov 9-12, 2026</t>
  </si>
  <si>
    <t xml:space="preserve">KubeCon + CloudNativeCon North America 2026</t>
  </si>
  <si>
    <t xml:space="preserve">Salt Lake City, USA</t>
  </si>
  <si>
    <t xml:space="preserve">CNCF</t>
  </si>
  <si>
    <t xml:space="preserve">Dan Kohn scholarship deadline Oct 4, 2026. Talks on CNCF YouTube within ~2 weeks.</t>
  </si>
  <si>
    <t xml:space="preserve">https://events.linuxfoundation.org/kubecon-cloudnativecon-north-america/</t>
  </si>
  <si>
    <t xml:space="preserve">Nov 18, 2026</t>
  </si>
  <si>
    <t xml:space="preserve">gRPConf India</t>
  </si>
  <si>
    <t xml:space="preserve">Bengaluru</t>
  </si>
  <si>
    <t xml:space="preserve">CNCF / Linux Foundation</t>
  </si>
  <si>
    <t xml:space="preserve">India-based CNCF project conference.</t>
  </si>
  <si>
    <t xml:space="preserve">https://events.linuxfoundation.org/about/calendar/</t>
  </si>
  <si>
    <t xml:space="preserve">Nov 22, 2026</t>
  </si>
  <si>
    <t xml:space="preserve">GopherCon India 2026</t>
  </si>
  <si>
    <t xml:space="preserve">Hyderabad</t>
  </si>
  <si>
    <t xml:space="preserve">GopherCon India</t>
  </si>
  <si>
    <t xml:space="preserve">Go community; CFP on their site.</t>
  </si>
  <si>
    <t xml:space="preserve">https://gopherconindia.org</t>
  </si>
  <si>
    <t xml:space="preserve">~late Nov 2026 (expected)</t>
  </si>
  <si>
    <t xml:space="preserve">KWoC 2026 registration</t>
  </si>
  <si>
    <t xml:space="preserve">Not announced yet; expected from past years.</t>
  </si>
  <si>
    <t xml:space="preserve">Nov 30, 2026 (deadline)</t>
  </si>
  <si>
    <t xml:space="preserve">FOSSASIA Summit 2027 CFP closes</t>
  </si>
  <si>
    <t xml:space="preserve">Summit is Mar 7-9, 2027 in Bangkok.</t>
  </si>
  <si>
    <t xml:space="preserve">https://eventyay.com/fossasia/summit2027/</t>
  </si>
  <si>
    <t xml:space="preserve">Dec 2026</t>
  </si>
  <si>
    <t xml:space="preserve">Send PRs through December.</t>
  </si>
  <si>
    <t xml:space="preserve">Dec 4-10, 2026</t>
  </si>
  <si>
    <t xml:space="preserve">MLH Global Hack Week: Open Source Week</t>
  </si>
  <si>
    <t xml:space="preserve">Free.</t>
  </si>
  <si>
    <t xml:space="preserve">Dec 5, 2026</t>
  </si>
  <si>
    <t xml:space="preserve">OpenSourceCon India 2026</t>
  </si>
  <si>
    <t xml:space="preserve">Kolkata</t>
  </si>
  <si>
    <t xml:space="preserve">Kolkata community</t>
  </si>
  <si>
    <t xml:space="preserve">Bengal's first dedicated OSS conference.</t>
  </si>
  <si>
    <t xml:space="preserve">https://opensourcecon.in</t>
  </si>
  <si>
    <t xml:space="preserve">DevFest Ahmedabad 2026</t>
  </si>
  <si>
    <t xml:space="preserve">Ahmedabad</t>
  </si>
  <si>
    <t xml:space="preserve">GDG Ahmedabad</t>
  </si>
  <si>
    <t xml:space="preserve">1,500+ attendees.</t>
  </si>
  <si>
    <t xml:space="preserve">https://devfest26.gdgahmedabad.com</t>
  </si>
  <si>
    <t xml:space="preserve">DevFest Mumbai 2026</t>
  </si>
  <si>
    <t xml:space="preserve">Mumbai</t>
  </si>
  <si>
    <t xml:space="preserve">GDG Mumbai</t>
  </si>
  <si>
    <t xml:space="preserve">Speaker CFP on Sessionize.</t>
  </si>
  <si>
    <t xml:space="preserve">https://devfestmumbai.com</t>
  </si>
  <si>
    <t xml:space="preserve">~mid-Dec 2026 (expected)</t>
  </si>
  <si>
    <t xml:space="preserve">Season of KDE 2027 applications</t>
  </si>
  <si>
    <t xml:space="preserve">Mentorship</t>
  </si>
  <si>
    <t xml:space="preserve">KDE</t>
  </si>
  <si>
    <t xml:space="preserve">Expected from past years.</t>
  </si>
  <si>
    <t xml:space="preserve">Dec 19-20, 2026</t>
  </si>
  <si>
    <t xml:space="preserve">SciPy India 2026</t>
  </si>
  <si>
    <t xml:space="preserve">IIT Madras, Chennai</t>
  </si>
  <si>
    <t xml:space="preserve">Scientific Python in India.</t>
  </si>
  <si>
    <t xml:space="preserve">Dec 31, 2026 (deadline)</t>
  </si>
  <si>
    <t xml:space="preserve">SWoC Season 7 registration closes</t>
  </si>
  <si>
    <t xml:space="preserve">Coding runs Jan 1-Mar 30, 2027.</t>
  </si>
  <si>
    <t xml:space="preserve">Jan 2027</t>
  </si>
  <si>
    <t xml:space="preserve">Jan 16-17, 2027</t>
  </si>
  <si>
    <t xml:space="preserve">MangaloreFOSS 2.0</t>
  </si>
  <si>
    <t xml:space="preserve">NIT Karnataka, Surathkal</t>
  </si>
  <si>
    <t xml:space="preserve">FOSS United Mangalore</t>
  </si>
  <si>
    <t xml:space="preserve">Student-friendly.</t>
  </si>
  <si>
    <t xml:space="preserve">https://fossunited.org/c/mangalore</t>
  </si>
  <si>
    <t xml:space="preserve">~mid-Jan to mid-Feb 2027 (expected)</t>
  </si>
  <si>
    <t xml:space="preserve">LFX Mentorship 2027 Term 1 applications</t>
  </si>
  <si>
    <t xml:space="preserve">Expected from 2026 dates.</t>
  </si>
  <si>
    <t xml:space="preserve">Jan 30-31, 2027</t>
  </si>
  <si>
    <t xml:space="preserve">FOSDEM 2027</t>
  </si>
  <si>
    <t xml:space="preserve">Brussels</t>
  </si>
  <si>
    <t xml:space="preserve">FOSDEM</t>
  </si>
  <si>
    <t xml:space="preserve">Free, no registration. Talks are livestreamed.</t>
  </si>
  <si>
    <t xml:space="preserve">https://fosdem.org/2027/</t>
  </si>
  <si>
    <t xml:space="preserve">Feb 2027</t>
  </si>
  <si>
    <t xml:space="preserve">~early-mid Feb 2027 (expected)</t>
  </si>
  <si>
    <t xml:space="preserve">Outreachy May 2027 initial applications</t>
  </si>
  <si>
    <t xml:space="preserve">Internship</t>
  </si>
  <si>
    <t xml:space="preserve">Indian university students can apply to this cohort.</t>
  </si>
  <si>
    <t xml:space="preserve">Feb 17-21, 2027</t>
  </si>
  <si>
    <t xml:space="preserve">DjangoCon Europe 2027</t>
  </si>
  <si>
    <t xml:space="preserve">Innsbruck, Austria</t>
  </si>
  <si>
    <t xml:space="preserve">DjangoCon Europe</t>
  </si>
  <si>
    <t xml:space="preserve">CFP closes Nov 15, 2026; student tickets.</t>
  </si>
  <si>
    <t xml:space="preserve">https://2027.djangocon.eu</t>
  </si>
  <si>
    <t xml:space="preserve">~late Feb 2027 (expected)</t>
  </si>
  <si>
    <t xml:space="preserve">GSoC 2027 organizations announced</t>
  </si>
  <si>
    <t xml:space="preserve">Expected from 2026 dates (Feb 19).</t>
  </si>
  <si>
    <t xml:space="preserve">Feb 2027 (date TBA)</t>
  </si>
  <si>
    <t xml:space="preserve">KCD Pune 2027</t>
  </si>
  <si>
    <t xml:space="preserve">Pune</t>
  </si>
  <si>
    <t xml:space="preserve">CNCF KCD Pune</t>
  </si>
  <si>
    <t xml:space="preserve">Local cloud-native event.</t>
  </si>
  <si>
    <t xml:space="preserve">https://www.cncf.io/blog/2026/08/20/announcing-h1-2027-kcds/</t>
  </si>
  <si>
    <t xml:space="preserve">Mar 2027</t>
  </si>
  <si>
    <t xml:space="preserve">Mar 1-May 31, 2027 (expected)</t>
  </si>
  <si>
    <t xml:space="preserve">LFX Mentorship 2027 Term 1 runs</t>
  </si>
  <si>
    <t xml:space="preserve">Expected from 2026 pattern.</t>
  </si>
  <si>
    <t xml:space="preserve">https://docs.linuxfoundation.org/lfx/mentorship/mentorship-program-timelines</t>
  </si>
  <si>
    <t xml:space="preserve">Mar 2-5, 2027</t>
  </si>
  <si>
    <t xml:space="preserve">PGConf India 2027</t>
  </si>
  <si>
    <t xml:space="preserve">India PostgreSQL User Group</t>
  </si>
  <si>
    <t xml:space="preserve">CFP closes Oct 15, 2026.</t>
  </si>
  <si>
    <t xml:space="preserve">https://pgconf.in</t>
  </si>
  <si>
    <t xml:space="preserve">Mar 7-9, 2027</t>
  </si>
  <si>
    <t xml:space="preserve">FOSSASIA Summit 2027</t>
  </si>
  <si>
    <t xml:space="preserve">Bangkok</t>
  </si>
  <si>
    <t xml:space="preserve">Student tickets; free virtual passes.</t>
  </si>
  <si>
    <t xml:space="preserve">Mar 15-18, 2027</t>
  </si>
  <si>
    <t xml:space="preserve">KubeCon + CloudNativeCon Europe 2027</t>
  </si>
  <si>
    <t xml:space="preserve">CFP closes Oct 11, 2026.</t>
  </si>
  <si>
    <t xml:space="preserve">https://events.linuxfoundation.org/kubecon-cloudnativecon-europe/</t>
  </si>
  <si>
    <t xml:space="preserve">~mid-late Mar 2027 (expected)</t>
  </si>
  <si>
    <t xml:space="preserve">GSoC 2027 contributor applications</t>
  </si>
  <si>
    <t xml:space="preserve">Expected from 2026 dates (Mar 16-31).</t>
  </si>
  <si>
    <t xml:space="preserve">~Mar 2027 (expected)</t>
  </si>
  <si>
    <t xml:space="preserve">FOSS Hack 2027</t>
  </si>
  <si>
    <t xml:space="preserve">Hackathon</t>
  </si>
  <si>
    <t xml:space="preserve">Online + Indian cities</t>
  </si>
  <si>
    <t xml:space="preserve">FOSS United</t>
  </si>
  <si>
    <t xml:space="preserve">2026 edition ran in March.</t>
  </si>
  <si>
    <t xml:space="preserve">https://fossunited.org/fosshack/2026</t>
  </si>
  <si>
    <t xml:space="preserve">Apr 2027</t>
  </si>
  <si>
    <t xml:space="preserve">Apr 2027 (date TBA)</t>
  </si>
  <si>
    <t xml:space="preserve">KCD Hyderabad 2027</t>
  </si>
  <si>
    <t xml:space="preserve">CNCF KCD Hyderabad</t>
  </si>
  <si>
    <t xml:space="preserve">~Apr-May 2027 (expected)</t>
  </si>
  <si>
    <t xml:space="preserve">C4GT DMP 2027 applications</t>
  </si>
  <si>
    <t xml:space="preserve">Code for Good Tech</t>
  </si>
  <si>
    <t xml:space="preserve">Rs 1 lakh stipend.</t>
  </si>
  <si>
    <t xml:space="preserve">May 2027</t>
  </si>
  <si>
    <t xml:space="preserve">May 17-19, 2027</t>
  </si>
  <si>
    <t xml:space="preserve">Open Source Summit North America 2027</t>
  </si>
  <si>
    <t xml:space="preserve">Vancouver</t>
  </si>
  <si>
    <t xml:space="preserve">LF scholarships usually offered.</t>
  </si>
  <si>
    <t xml:space="preserve">https://events.linuxfoundation.org/open-source-summit-north-america/</t>
  </si>
  <si>
    <t xml:space="preserve">~May 2027 (expected)</t>
  </si>
  <si>
    <t xml:space="preserve">Google I/O 2027</t>
  </si>
  <si>
    <t xml:space="preserve">Mountain View + online</t>
  </si>
  <si>
    <t xml:space="preserve">Free livestream.</t>
  </si>
  <si>
    <t xml:space="preserve">https://io.google</t>
  </si>
  <si>
    <t xml:space="preserve">Jun 2027</t>
  </si>
  <si>
    <t xml:space="preserve">~Jun 2027 (expected)</t>
  </si>
  <si>
    <t xml:space="preserve">KubeCon + CloudNativeCon India 2027 / Open Source Summit India 2027</t>
  </si>
  <si>
    <t xml:space="preserve">India (2026 was Mumbai)</t>
  </si>
  <si>
    <t xml:space="preserve">2026 editions were Jun 16-19 in Mumbai.</t>
  </si>
  <si>
    <t xml:space="preserve">https://events.linuxfoundation.org/kubecon-cloudnativecon-india/</t>
  </si>
  <si>
    <t xml:space="preserve">Sep 2027</t>
  </si>
  <si>
    <t xml:space="preserve">Sep 20-22, 2027</t>
  </si>
  <si>
    <t xml:space="preserve">Open Source Summit Europe 2027</t>
  </si>
  <si>
    <t xml:space="preserve">Glasgow</t>
  </si>
  <si>
    <t xml:space="preserve">LF scholarships.</t>
  </si>
  <si>
    <t xml:space="preserve">~Sep 2027 (expected)</t>
  </si>
  <si>
    <t xml:space="preserve">IndiaFOSS 2027</t>
  </si>
  <si>
    <t xml:space="preserve">Bengaluru (2026)</t>
  </si>
  <si>
    <t xml:space="preserve">Student tickets, diversity scholarship, volunteers.</t>
  </si>
  <si>
    <t xml:space="preserve">https://fossunited.org/indiafoss/2026</t>
  </si>
  <si>
    <t xml:space="preserve">Oct 2027</t>
  </si>
  <si>
    <t xml:space="preserve">October 2027 (expected)</t>
  </si>
  <si>
    <t xml:space="preserve">Hacktoberfest 2027</t>
  </si>
  <si>
    <t xml:space="preserve">MLH + DEV</t>
  </si>
  <si>
    <t xml:space="preserve">Every October.</t>
  </si>
  <si>
    <t xml:space="preserve">Nov 2027</t>
  </si>
  <si>
    <t xml:space="preserve">Nov 8-11, 2027</t>
  </si>
  <si>
    <t xml:space="preserve">KubeCon + CloudNativeCon North America 2027</t>
  </si>
  <si>
    <t xml:space="preserve">New Orleans</t>
  </si>
  <si>
    <t xml:space="preserve">Dan Kohn scholarships usually offered.</t>
  </si>
  <si>
    <t xml:space="preserve">https://www.cncf.io/kubecon-cloudnativecon-events/</t>
  </si>
  <si>
    <t xml:space="preserve">Roadmap: Your First Merged PR with AI Help</t>
  </si>
  <si>
    <t xml:space="preserve">Fork -&gt; clone -&gt; understand -&gt; fix with an AI code editor -&gt; test -&gt; commit -&gt; PR -&gt; CI -&gt; review -&gt; merge. You stay responsible for every line.</t>
  </si>
  <si>
    <t xml:space="preserve">Step</t>
  </si>
  <si>
    <t xml:space="preserve">Stage</t>
  </si>
  <si>
    <t xml:space="preserve">What to do</t>
  </si>
  <si>
    <t xml:space="preserve">Commands / example</t>
  </si>
  <si>
    <t xml:space="preserve">Where AI helps</t>
  </si>
  <si>
    <t xml:space="preserve">Watch out</t>
  </si>
  <si>
    <t xml:space="preserve">Done?</t>
  </si>
  <si>
    <t xml:space="preserve">Set up</t>
  </si>
  <si>
    <t xml:space="preserve">Create a GitHub account with a real name and photo, set up Git, SSH key and 2FA. Apply for the GitHub Student Developer Pack.</t>
  </si>
  <si>
    <t xml:space="preserve">git config --global user.name "Your Name"
git config --global user.email you@example.com
ssh-keygen -t ed25519 -C you@example.com</t>
  </si>
  <si>
    <t xml:space="preserve">Ask AI to explain any Git error message.</t>
  </si>
  <si>
    <t xml:space="preserve">Use the same email in Git and GitHub, or commits won't link to your profile.</t>
  </si>
  <si>
    <t xml:space="preserve">Choose an org</t>
  </si>
  <si>
    <t xml:space="preserve">Pick 2-3 orgs from the '100 Orgs' sheet that match your stack. Check activity, good-first issues and chat channel.</t>
  </si>
  <si>
    <t xml:space="preserve">Ask AI to summarise the org's README and ideas page.</t>
  </si>
  <si>
    <t xml:space="preserve">Don't spread across 10 orgs at once. Depth beats breadth.</t>
  </si>
  <si>
    <t xml:space="preserve">Read the rules</t>
  </si>
  <si>
    <t xml:space="preserve">Read CONTRIBUTING, CODE_OF_CONDUCT, the PR template and any AI_POLICY.md / AGENTS.md. Note DCO, CLA and commit-message rules.</t>
  </si>
  <si>
    <t xml:space="preserve">Ask AI: 'Turn CONTRIBUTING.md into a checklist for me.'</t>
  </si>
  <si>
    <t xml:space="preserve">If AI is banned in that project, don't use it for code there.</t>
  </si>
  <si>
    <t xml:space="preserve">Join the community</t>
  </si>
  <si>
    <t xml:space="preserve">Join the Slack/Discord/Zulip/mailing list. Introduce yourself in your own words. Attend a community call.</t>
  </si>
  <si>
    <t xml:space="preserve">None. Write your own messages.</t>
  </si>
  <si>
    <t xml:space="preserve">Many orgs ban AI-written chat messages.</t>
  </si>
  <si>
    <t xml:space="preserve">Find and claim an issue</t>
  </si>
  <si>
    <t xml:space="preserve">Filter 'good first issue' or recent bugs. Comment to ask for assignment; wait for a maintainer reply before coding.</t>
  </si>
  <si>
    <t xml:space="preserve">Label filter: is:issue is:open label:"good first issue" no:assignee</t>
  </si>
  <si>
    <t xml:space="preserve">Ask AI which files are probably related to the issue.</t>
  </si>
  <si>
    <t xml:space="preserve">Never take an issue already assigned to someone else.</t>
  </si>
  <si>
    <t xml:space="preserve">Fork</t>
  </si>
  <si>
    <t xml:space="preserve">Click Fork on GitHub to copy the repo to your account.</t>
  </si>
  <si>
    <t xml:space="preserve">(GitHub UI) Fork</t>
  </si>
  <si>
    <t xml:space="preserve">Keep the fork's default branch clean; work in branches.</t>
  </si>
  <si>
    <t xml:space="preserve">Clone + upstream</t>
  </si>
  <si>
    <t xml:space="preserve">Clone your fork and add the original repo as 'upstream'.</t>
  </si>
  <si>
    <t xml:space="preserve">git clone git@github.com:&lt;you&gt;/&lt;repo&gt;.git
cd &lt;repo&gt;
git remote add upstream https://github.com/&lt;org&gt;/&lt;repo&gt;.git</t>
  </si>
  <si>
    <t xml:space="preserve">Check the default branch name (main, master, develop).</t>
  </si>
  <si>
    <t xml:space="preserve">Build and run locally</t>
  </si>
  <si>
    <t xml:space="preserve">Follow the dev-setup guide. Run the app and the tests before changing anything.</t>
  </si>
  <si>
    <t xml:space="preserve">(project-specific, e.g.) npm install &amp;&amp; npm test</t>
  </si>
  <si>
    <t xml:space="preserve">Paste setup errors into AI and ask for the cause.</t>
  </si>
  <si>
    <t xml:space="preserve">If setup fails, ask in the channel after searching old messages.</t>
  </si>
  <si>
    <t xml:space="preserve">Create a branch</t>
  </si>
  <si>
    <t xml:space="preserve">One branch per issue, named after the issue.</t>
  </si>
  <si>
    <t xml:space="preserve">git checkout -b fix/1234-short-name</t>
  </si>
  <si>
    <t xml:space="preserve">Never work directly on main.</t>
  </si>
  <si>
    <t xml:space="preserve">Understand the code with AI</t>
  </si>
  <si>
    <t xml:space="preserve">Open the repo in an AI editor (Antigravity, VS Code + Copilot, Claude Code, Cursor, Zed). Ask it to map the code and trace the bug. Verify with git log / git blame.</t>
  </si>
  <si>
    <t xml:space="preserve">git log -p -- path/to/file
git blame path/to/file</t>
  </si>
  <si>
    <t xml:space="preserve">'Map this repo; where is &lt;feature&gt; handled? Cite file paths.' 'Trace what happens when &lt;action&gt;.' 'Which existing test is closest to what I need?'</t>
  </si>
  <si>
    <t xml:space="preserve">AI can be wrong. Check every claim in the actual code.</t>
  </si>
  <si>
    <t xml:space="preserve">Make the change</t>
  </si>
  <si>
    <t xml:space="preserve">Write the fix yourself or with AI help, keeping the change small. Add or update tests.</t>
  </si>
  <si>
    <t xml:space="preserve">Use AI for boilerplate, tests and debugging; understand every line.</t>
  </si>
  <si>
    <t xml:space="preserve">You must be able to explain every line without the AI open.</t>
  </si>
  <si>
    <t xml:space="preserve">Test and lint</t>
  </si>
  <si>
    <t xml:space="preserve">Run the project's tests, linters and formatters exactly like CI does.</t>
  </si>
  <si>
    <t xml:space="preserve">npm run lint &amp;&amp; npm test   (or: make test / go test ./... / pytest)</t>
  </si>
  <si>
    <t xml:space="preserve">Ask AI to explain failing tests.</t>
  </si>
  <si>
    <t xml:space="preserve">Never delete or weaken tests to make them pass.</t>
  </si>
  <si>
    <t xml:space="preserve">Commit</t>
  </si>
  <si>
    <t xml:space="preserve">Follow the repo's commit style. Add DCO sign-off if required. Disclose AI use in the format the project asks.</t>
  </si>
  <si>
    <t xml:space="preserve">git add -p
git commit -s -m "fix(ui): handle empty trace list (#1234)"</t>
  </si>
  <si>
    <t xml:space="preserve">AI may suggest a message; rewrite it in your words.</t>
  </si>
  <si>
    <t xml:space="preserve">AI must never add Signed-off-by; only you can sign the DCO.</t>
  </si>
  <si>
    <t xml:space="preserve">Sync with upstream</t>
  </si>
  <si>
    <t xml:space="preserve">Rebase on the latest upstream branch before pushing.</t>
  </si>
  <si>
    <t xml:space="preserve">git fetch upstream
git rebase upstream/main</t>
  </si>
  <si>
    <t xml:space="preserve">Resolve conflicts carefully; re-run tests after rebasing.</t>
  </si>
  <si>
    <t xml:space="preserve">Push</t>
  </si>
  <si>
    <t xml:space="preserve">Push the branch to your fork.</t>
  </si>
  <si>
    <t xml:space="preserve">git push origin fix/1234-short-name</t>
  </si>
  <si>
    <t xml:space="preserve">Don't force-push after review starts unless the project asks.</t>
  </si>
  <si>
    <t xml:space="preserve">Open the PR</t>
  </si>
  <si>
    <t xml:space="preserve">Fill the PR template: what, why, how tested, screenshots for UI, 'Fixes #1234', AI disclosure.</t>
  </si>
  <si>
    <t xml:space="preserve">(GitHub UI) Compare &amp; pull request</t>
  </si>
  <si>
    <t xml:space="preserve">Write the description yourself.</t>
  </si>
  <si>
    <t xml:space="preserve">Many orgs ban AI-written PR descriptions.</t>
  </si>
  <si>
    <t xml:space="preserve">Pass CI checks</t>
  </si>
  <si>
    <t xml:space="preserve">Watch GitHub Actions. Fix failing lint/test/DCO/CLA checks.</t>
  </si>
  <si>
    <t xml:space="preserve">Re-run locally, fix, then: git commit -s --amend / git push --force-with-lease</t>
  </si>
  <si>
    <t xml:space="preserve">Ask AI to explain a CI log.</t>
  </si>
  <si>
    <t xml:space="preserve">Don't ask maintainers to review a red PR.</t>
  </si>
  <si>
    <t xml:space="preserve">Respond to review</t>
  </si>
  <si>
    <t xml:space="preserve">Reply to every comment yourself, make the changes, and say what you changed.</t>
  </si>
  <si>
    <t xml:space="preserve">None for replies (banned in many orgs).</t>
  </si>
  <si>
    <t xml:space="preserve">Be patient; reviews can take days. Ping politely after a week.</t>
  </si>
  <si>
    <t xml:space="preserve">Merged! Repeat</t>
  </si>
  <si>
    <t xml:space="preserve">After merge, pick a slightly harder issue in the same org. 3-5 merged PRs in one org is a strong signal.</t>
  </si>
  <si>
    <t xml:space="preserve">git checkout main &amp;&amp; git pull upstream main</t>
  </si>
  <si>
    <t xml:space="preserve">Consistency over months matters more than PR count.</t>
  </si>
  <si>
    <t xml:space="preserve">Apply to GSoC/LFX</t>
  </si>
  <si>
    <t xml:space="preserve">Discuss your idea with mentors, then write the proposal yourself: problem, plan, timeline, your merged PRs.</t>
  </si>
  <si>
    <t xml:space="preserve">AI only for grammar where the org allows it.</t>
  </si>
  <si>
    <t xml:space="preserve">AI-written proposals can be rejected automatically.</t>
  </si>
  <si>
    <t xml:space="preserve">AI Coding Tools for Students (Oct 2026)</t>
  </si>
  <si>
    <t xml:space="preserve">Free access changes often. Check the official page before relying on a tool.</t>
  </si>
  <si>
    <t xml:space="preserve">Tool</t>
  </si>
  <si>
    <t xml:space="preserve">What it is</t>
  </si>
  <si>
    <t xml:space="preserve">Free / student access (Oct 2026)</t>
  </si>
  <si>
    <t xml:space="preserve">Google Antigravity</t>
  </si>
  <si>
    <t xml:space="preserve">Google's agent-first IDE (editor + agent manager, can control a browser). Launched Nov 2025.</t>
  </si>
  <si>
    <t xml:space="preserve">Free 'For Individuals' tier with weekly rate limits; Gemini and Claude models listed on the pricing page. Paid Google AI plans get higher limits.</t>
  </si>
  <si>
    <t xml:space="preserve">https://antigravity.google</t>
  </si>
  <si>
    <t xml:space="preserve">GitHub Copilot (VS Code)</t>
  </si>
  <si>
    <t xml:space="preserve">Completions, chat and agent mode inside VS Code and other editors.</t>
  </si>
  <si>
    <t xml:space="preserve">Copilot Free for everyone. Verified students get the free 'Copilot Student' plan via GitHub Education (replaced free Copilot Pro in Mar 2026).</t>
  </si>
  <si>
    <t xml:space="preserve">https://education.github.com/pack</t>
  </si>
  <si>
    <t xml:space="preserve">VS Code agent mode</t>
  </si>
  <si>
    <t xml:space="preserve">Built-in agent that edits files and runs terminal commands.</t>
  </si>
  <si>
    <t xml:space="preserve">Works with Copilot Free; can also use your own API keys or local models (Ollama).</t>
  </si>
  <si>
    <t xml:space="preserve">https://code.visualstudio.com/blogs/2025/04/07/agentMode</t>
  </si>
  <si>
    <t xml:space="preserve">Claude Code</t>
  </si>
  <si>
    <t xml:space="preserve">Anthropic's agentic coding tool (terminal, IDE, desktop, web).</t>
  </si>
  <si>
    <t xml:space="preserve">Needs a paid Claude plan (Pro or higher) or API billing; not in the Free plan. Some universities provide Claude for Education.</t>
  </si>
  <si>
    <t xml:space="preserve">https://code.claude.com/docs/en/overview</t>
  </si>
  <si>
    <t xml:space="preserve">Cursor</t>
  </si>
  <si>
    <t xml:space="preserve">AI-first code editor (VS Code fork) with agents.</t>
  </si>
  <si>
    <t xml:space="preserve">Free Hobby plan with limited agent requests; Pro is paid. The free student year is no longer offered.</t>
  </si>
  <si>
    <t xml:space="preserve">https://cursor.com/pricing</t>
  </si>
  <si>
    <t xml:space="preserve">Zed</t>
  </si>
  <si>
    <t xml:space="preserve">Fast open-source editor with AI agents.</t>
  </si>
  <si>
    <t xml:space="preserve">Free personal plan; 'Zed for Students' gives 12 months of Pro free (university students, 18+).</t>
  </si>
  <si>
    <t xml:space="preserve">https://zed.dev/education</t>
  </si>
  <si>
    <t xml:space="preserve">OpenAI Codex CLI</t>
  </si>
  <si>
    <t xml:space="preserve">Open-source terminal coding agent.</t>
  </si>
  <si>
    <t xml:space="preserve">Sign in with ChatGPT (Free plan included for quick tasks per OpenAI docs) or API key.</t>
  </si>
  <si>
    <t xml:space="preserve">https://developers.openai.com/codex/cli</t>
  </si>
  <si>
    <t xml:space="preserve">Gemini CLI</t>
  </si>
  <si>
    <t xml:space="preserve">Open-source terminal agent from Google.</t>
  </si>
  <si>
    <t xml:space="preserve">Free Google-login tier replaced by Antigravity CLI on 18 Jun 2026; still works with a Gemini API key.</t>
  </si>
  <si>
    <t xml:space="preserve">https://github.com/google-gemini/gemini-cli</t>
  </si>
  <si>
    <t xml:space="preserve">Devin Desktop (formerly Windsurf)</t>
  </si>
  <si>
    <t xml:space="preserve">AI IDE from Cognition.</t>
  </si>
  <si>
    <t xml:space="preserve">Free plan with a light agent quota; Pro is paid.</t>
  </si>
  <si>
    <t xml:space="preserve">https://devin.ai/desktop</t>
  </si>
  <si>
    <t xml:space="preserve">Cline / Kilo Code / Aider</t>
  </si>
  <si>
    <t xml:space="preserve">Open-source agents for VS Code or terminal.</t>
  </si>
  <si>
    <t xml:space="preserve">Free; bring your own API key or use local/open models.</t>
  </si>
  <si>
    <t xml:space="preserve">https://github.com/cline/cline</t>
  </si>
  <si>
    <t xml:space="preserve">AI Contribution Policies</t>
  </si>
  <si>
    <t xml:space="preserve">Read the rules of YOUR project first. When unsure, ask the mentor.</t>
  </si>
  <si>
    <t xml:space="preserve">Program / Project</t>
  </si>
  <si>
    <t xml:space="preserve">Rule summary</t>
  </si>
  <si>
    <t xml:space="preserve">Source</t>
  </si>
  <si>
    <t xml:space="preserve">Some orgs ban AI entirely, including in proposals. AI only for research/learning/boilerplate/tests; you keep 100% responsibility. AI-written proposals may be auto-rejected.</t>
  </si>
  <si>
    <t xml:space="preserve">https://developers.google.com/open-source/gsoc/resources/ai_guidance</t>
  </si>
  <si>
    <t xml:space="preserve">No generative AI in application essays. Unedited AI contributions you cannot explain = not accepted.</t>
  </si>
  <si>
    <t xml:space="preserve">https://www.outreachy.org/docs/applicant/</t>
  </si>
  <si>
    <t xml:space="preserve">PRs no longer count for rewards because low-effort spam PRs became too easy.</t>
  </si>
  <si>
    <t xml:space="preserve">https://hacktoberfest.com/questions/</t>
  </si>
  <si>
    <t xml:space="preserve">AI output allowed if the tool's terms and any third-party content are compatible with the license. Projects may be stricter.</t>
  </si>
  <si>
    <t xml:space="preserve">https://www.linuxfoundation.org/legal/generative-ai</t>
  </si>
  <si>
    <t xml:space="preserve">CNCF (guidance)</t>
  </si>
  <si>
    <t xml:space="preserve">'Own your commit'. Disclosure builds trust; unreviewed AI output is not welcome.</t>
  </si>
  <si>
    <t xml:space="preserve">https://www.cncf.io/blog/2026/03/10/sustaining-open-source-in-the-age-of-generative-ai/</t>
  </si>
  <si>
    <t xml:space="preserve">Disclose AI use in the PR description. No AI co-authors or Assisted-by trailers. No large AI PRs; no AI replies to reviewers.</t>
  </si>
  <si>
    <t xml:space="preserve">https://www.kubernetes.dev/docs/guide/pull-requests/</t>
  </si>
  <si>
    <t xml:space="preserve">Linux kernel</t>
  </si>
  <si>
    <t xml:space="preserve">AI must never add Signed-off-by. Use an 'Assisted-by:' tag; the human takes full responsibility.</t>
  </si>
  <si>
    <t xml:space="preserve">https://github.com/torvalds/linux/blob/master/Documentation/process/coding-assistants.rst</t>
  </si>
  <si>
    <t xml:space="preserve">Allowed with license checks; recommends a 'Generated-by:' token in commits.</t>
  </si>
  <si>
    <t xml:space="preserve">https://www.apache.org/legal/generative-tooling.html</t>
  </si>
  <si>
    <t xml:space="preserve">Jaeger</t>
  </si>
  <si>
    <t xml:space="preserve">You own everything you submit. PR checkbox for AI. Agents must not answer reviews. First-timers limited to 1 open PR.</t>
  </si>
  <si>
    <t xml:space="preserve">https://github.com/jaegertracing/jaeger/blob/main/AI_POLICY.md</t>
  </si>
  <si>
    <t xml:space="preserve">Jenkins (GSoC)</t>
  </si>
  <si>
    <t xml:space="preserve">No copy-pasted AI code, no AI-written PR descriptions or review replies. Two strikes and you are banned.</t>
  </si>
  <si>
    <t xml:space="preserve">https://www.jenkins.io/projects/gsoc/ai-usage-policy/</t>
  </si>
  <si>
    <t xml:space="preserve">Never answer 'the AI did it'. No AI-generated messages in the community chat.</t>
  </si>
  <si>
    <t xml:space="preserve">https://zulip.readthedocs.io/en/latest/contributing/contributing.html</t>
  </si>
  <si>
    <t xml:space="preserve">Oppia (GSoC 2026)</t>
  </si>
  <si>
    <t xml:space="preserve">AI allowed, but you are responsible; AI-sounding comments are called out.</t>
  </si>
  <si>
    <t xml:space="preserve">https://github.com/oppia/oppia/wiki/Google-Summer-of-Code-2026</t>
  </si>
  <si>
    <t xml:space="preserve">NumPy</t>
  </si>
  <si>
    <t xml:space="preserve">AI disclosure mandatory; no AI slop; no autonomous agents; do not let AI speak for you.</t>
  </si>
  <si>
    <t xml:space="preserve">https://numpy.org/devdocs/dev/ai_policy.html</t>
  </si>
  <si>
    <t xml:space="preserve">scikit-learn</t>
  </si>
  <si>
    <t xml:space="preserve">No fully automated PRs/issues. Do not paste AI text into issues or PR descriptions.</t>
  </si>
  <si>
    <t xml:space="preserve">https://scikit-learn.org/stable/developers/contributing.html</t>
  </si>
  <si>
    <t xml:space="preserve">Django</t>
  </si>
  <si>
    <t xml:space="preserve">Disclose the tool and what it did. Run the full test suite. Do not request AI reviews on Django PRs.</t>
  </si>
  <si>
    <t xml:space="preserve">https://docs.djangoproject.com/en/dev/internals/contributing/writing-code/submitting-patches/</t>
  </si>
  <si>
    <t xml:space="preserve">CPython</t>
  </si>
  <si>
    <t xml:space="preserve">Explain changes in your own words. Never change tests just to make them pass.</t>
  </si>
  <si>
    <t xml:space="preserve">https://devguide.python.org/getting-started/ai-tools/</t>
  </si>
  <si>
    <t xml:space="preserve">Human stays in control; disclose major AI use (Assisted-by: trailer preferred).</t>
  </si>
  <si>
    <t xml:space="preserve">https://github.com/open-telemetry/community/blob/main/policies/genai.md</t>
  </si>
  <si>
    <t xml:space="preserve">Human in the loop; no AI on 'good first issue' tasks; no autonomous agents.</t>
  </si>
  <si>
    <t xml:space="preserve">https://llvm.org/docs/AIToolPolicy.html</t>
  </si>
  <si>
    <t xml:space="preserve">Mozilla / Firefox</t>
  </si>
  <si>
    <t xml:space="preserve">Responsibility stays with the human; newcomers should not solve beginner bugs purely with AI.</t>
  </si>
  <si>
    <t xml:space="preserve">https://firefox-source-docs.mozilla.org/contributing/ai-coding.html</t>
  </si>
  <si>
    <t xml:space="preserve">Declines contributions believed to include AI-generated content.</t>
  </si>
  <si>
    <t xml:space="preserve">https://www.qemu.org/docs/master/devel/code-provenance.html</t>
  </si>
  <si>
    <t xml:space="preserve">Gentoo / NetBSD</t>
  </si>
  <si>
    <t xml:space="preserve">AI-generated contributions forbidden (Gentoo) or presumed tainted (NetBSD).</t>
  </si>
  <si>
    <t xml:space="preserve">https://wiki.gentoo.org/wiki/Project:Council/AI_policy</t>
  </si>
  <si>
    <t xml:space="preserve">Declines legally significant LLM-generated contributions (Jul 2026).</t>
  </si>
  <si>
    <t xml:space="preserve">https://gcc.gnu.org/contribute.html</t>
  </si>
  <si>
    <t xml:space="preserve">Godot</t>
  </si>
  <si>
    <t xml:space="preserve">No autonomous agents or vibe coding (auto-ban); disclosure required.</t>
  </si>
  <si>
    <t xml:space="preserve">https://godotengine.org/article/contribution-policy-2026/</t>
  </si>
  <si>
    <t xml:space="preserve">curl</t>
  </si>
  <si>
    <t xml:space="preserve">Must reveal if AI found an issue; fake reports = immediate ban. Bug bounty ended Jan 2026 due to AI slop.</t>
  </si>
  <si>
    <t xml:space="preserve">https://curl.se/dev/contribute.html</t>
  </si>
  <si>
    <t xml:space="preserve">Tracker of 200+ project policies</t>
  </si>
  <si>
    <t xml:space="preserve">Community list grouping projects by AI rules.</t>
  </si>
  <si>
    <t xml:space="preserve">https://github.com/melissawm/open-source-ai-contribution-policies</t>
  </si>
  <si>
    <t xml:space="preserve">Month-by-Month Plan (Oct 2026 - Sep 2027)</t>
  </si>
  <si>
    <t xml:space="preserve">Target: LFX 2027 terms and GSoC 2027. 2027 dates are expected, based on 2026.</t>
  </si>
  <si>
    <t xml:space="preserve">Your goal</t>
  </si>
  <si>
    <t xml:space="preserve">Programs / events that month</t>
  </si>
  <si>
    <t xml:space="preserve">Learn Git/GitHub; shortlist 2-3 orgs; join their chats; first small PR (docs/typo/test).</t>
  </si>
  <si>
    <t xml:space="preserve">Hacktoberfest (events, not PRs). SWoC registration open till Dec 31. SciPy India CFP Oct 19.</t>
  </si>
  <si>
    <t xml:space="preserve">2-3 merged PRs in one main org. Attend a community call.</t>
  </si>
  <si>
    <t xml:space="preserve">KubeCon NA talks online. KWoC registration expected late Nov.</t>
  </si>
  <si>
    <t xml:space="preserve">Take a medium issue. Read past GSoC/LFX project ideas of your org.</t>
  </si>
  <si>
    <t xml:space="preserve">24 Pull Requests (Dec 1-24). KWoC. Season of KDE applications expected. SWoC closes Dec 31.</t>
  </si>
  <si>
    <t xml:space="preserve">Keep contributing weekly. Watch for LFX Term 1 project listings.</t>
  </si>
  <si>
    <t xml:space="preserve">SWoC coding starts Jan 1. LFX T1 applications expected ~late Jan-mid Feb. FOSDEM Jan 30-31 (livestream). Summer of Bitcoin applications expected.</t>
  </si>
  <si>
    <t xml:space="preserve">Study GSoC ideas as soon as orgs are announced; talk to mentors early.</t>
  </si>
  <si>
    <t xml:space="preserve">GSoC orgs expected ~late Feb. Outreachy May cohort initial applications expected. ESoC opens (expected).</t>
  </si>
  <si>
    <t xml:space="preserve">Write your GSoC proposal yourself; get mentor feedback.</t>
  </si>
  <si>
    <t xml:space="preserve">GSoC contributor applications expected ~mid-late Mar. LFX T1 runs Mar-May. FOSS Hack (expected).</t>
  </si>
  <si>
    <t xml:space="preserve">Keep contributing while results are pending.</t>
  </si>
  <si>
    <t xml:space="preserve">C4GT DMP applications expected Apr-May. LFX T2 listings expected mid-Apr. LFDT and OMP applications.</t>
  </si>
  <si>
    <t xml:space="preserve">If selected: community bonding. If not: apply to LFX T2.</t>
  </si>
  <si>
    <t xml:space="preserve">GSoC results expected ~end Apr/early May. LFX T2 applications expected.</t>
  </si>
  <si>
    <t xml:space="preserve">Jun-Aug 2027</t>
  </si>
  <si>
    <t xml:space="preserve">Coding period, or keep contributing and prepare for LFX T3.</t>
  </si>
  <si>
    <t xml:space="preserve">LFX T3 applications expected early Aug. OSPP.</t>
  </si>
  <si>
    <t xml:space="preserve">Share your work (blog/talk). Help newcomers.</t>
  </si>
  <si>
    <t xml:space="preserve">LFX T3 starts. IndiaFOSS expected. Hacktoberfest again in Oct.</t>
  </si>
  <si>
    <t xml:space="preserve">My 10 Repos (picked for GitHub: vikas0799)</t>
  </si>
  <si>
    <t xml:space="preserve">Best-fit repos for a web-dev background, from the first shortlist. Activity refreshed for Sep 2026.</t>
  </si>
  <si>
    <t xml:space="preserve">Repo</t>
  </si>
  <si>
    <t xml:space="preserve">Stack</t>
  </si>
  <si>
    <t xml:space="preserve">Active authors</t>
  </si>
  <si>
    <t xml:space="preserve">DCO sign-off</t>
  </si>
  <si>
    <t xml:space="preserve">Why</t>
  </si>
  <si>
    <t xml:space="preserve">Issue picked</t>
  </si>
  <si>
    <t xml:space="preserve">PR link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</si>
  <si>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</si>
  <si>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</si>
  <si>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</si>
  <si>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</si>
  <si>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</si>
  <si>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</si>
  <si>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</si>
  <si>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</si>
  <si>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</si>
  <si>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</si>
  <si>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B1</t>
  </si>
  <si>
    <t xml:space="preserve">CI/CD server. Strict AI policy (two strikes). Uses GitHub issues now. (backup)</t>
  </si>
  <si>
    <t xml:space="preserve">B2</t>
  </si>
  <si>
    <t xml:space="preserve">Schema/API registry. 4 LFX projects in Term 3. (backup)</t>
  </si>
  <si>
    <t xml:space="preserve">B3</t>
  </si>
  <si>
    <t xml:space="preserve">Large monorepo. Good-first labels are old, so pick recent bugs. (backup)</t>
  </si>
  <si>
    <t xml:space="preserve">Merged PRs so far:</t>
  </si>
  <si>
    <t xml:space="preserve">Goal:</t>
  </si>
  <si>
    <t xml:space="preserve">Progress:</t>
  </si>
  <si>
    <t xml:space="preserve">Git Cheatsheet for Contributors</t>
  </si>
  <si>
    <t xml:space="preserve">Replace &lt;you&gt;, &lt;org&gt;, &lt;repo&gt; and branch names with your own.</t>
  </si>
  <si>
    <t xml:space="preserve">Task</t>
  </si>
  <si>
    <t xml:space="preserve">Command</t>
  </si>
  <si>
    <t xml:space="preserve">Clone your fork</t>
  </si>
  <si>
    <t xml:space="preserve">git clone git@github.com:&lt;you&gt;/&lt;repo&gt;.git</t>
  </si>
  <si>
    <t xml:space="preserve">Add upstream</t>
  </si>
  <si>
    <t xml:space="preserve">git remote add upstream https://github.com/&lt;org&gt;/&lt;repo&gt;.git</t>
  </si>
  <si>
    <t xml:space="preserve">Check remotes</t>
  </si>
  <si>
    <t xml:space="preserve">git remote -v</t>
  </si>
  <si>
    <t xml:space="preserve">New branch</t>
  </si>
  <si>
    <t xml:space="preserve">git checkout -b fix/123-short-name</t>
  </si>
  <si>
    <t xml:space="preserve">See changes</t>
  </si>
  <si>
    <t xml:space="preserve">git status   /   git diff</t>
  </si>
  <si>
    <t xml:space="preserve">Stage parts of files</t>
  </si>
  <si>
    <t xml:space="preserve">git add -p</t>
  </si>
  <si>
    <t xml:space="preserve">Commit with DCO sign-off</t>
  </si>
  <si>
    <t xml:space="preserve">git commit -s -m "fix: short description (#123)"</t>
  </si>
  <si>
    <t xml:space="preserve">Amend last commit</t>
  </si>
  <si>
    <t xml:space="preserve">git commit --amend -s</t>
  </si>
  <si>
    <t xml:space="preserve">Update from upstream</t>
  </si>
  <si>
    <t xml:space="preserve">git fetch upstream &amp;&amp; git rebase upstream/main</t>
  </si>
  <si>
    <t xml:space="preserve">Push branch</t>
  </si>
  <si>
    <t xml:space="preserve">git push origin fix/123-short-name</t>
  </si>
  <si>
    <t xml:space="preserve">Push after rebase</t>
  </si>
  <si>
    <t xml:space="preserve">git push --force-with-lease</t>
  </si>
  <si>
    <t xml:space="preserve">Squash last 3 commits</t>
  </si>
  <si>
    <t xml:space="preserve">git rebase -i HEAD~3   (mark commits as 'squash')</t>
  </si>
  <si>
    <t xml:space="preserve">Undo unstaged changes</t>
  </si>
  <si>
    <t xml:space="preserve">git restore &lt;file&gt;</t>
  </si>
  <si>
    <t xml:space="preserve">See history of a file</t>
  </si>
  <si>
    <t xml:space="preserve">git log -p -- &lt;file&gt;</t>
  </si>
  <si>
    <t xml:space="preserve">Who changed a line</t>
  </si>
  <si>
    <t xml:space="preserve">git blame &lt;file&gt;</t>
  </si>
  <si>
    <t xml:space="preserve">Save work temporarily</t>
  </si>
  <si>
    <t xml:space="preserve">git stash   /   git stash pop</t>
  </si>
  <si>
    <t xml:space="preserve">Sync your fork's main</t>
  </si>
  <si>
    <t xml:space="preserve">git checkout main &amp;&amp; git pull upstream main &amp;&amp; git push origin main</t>
  </si>
  <si>
    <t xml:space="preserve">Delete merged branch</t>
  </si>
  <si>
    <t xml:space="preserve">git branch -d fix/123-short-name &amp;&amp; git push origin --delete fix/123-short-name</t>
  </si>
  <si>
    <t xml:space="preserve">Includes the 5 reference links you shared.</t>
  </si>
  <si>
    <t xml:space="preserve">Category</t>
  </si>
  <si>
    <t xml:space="preserve">Name</t>
  </si>
  <si>
    <t xml:space="preserve">Note</t>
  </si>
  <si>
    <t xml:space="preserve">Your sources</t>
  </si>
  <si>
    <t xml:space="preserve">Ossium</t>
  </si>
  <si>
    <t xml:space="preserve">https://ossium.in/</t>
  </si>
  <si>
    <t xml:space="preserve">Discovery platform: GSoC orgs, trending repos, good first issues, bounties. Free, no login.</t>
  </si>
  <si>
    <t xml:space="preserve">20 Open Source Internship Programs (dev.to)</t>
  </si>
  <si>
    <t xml:space="preserve">https://dev.to/yakhilesh/20-open-source-internship-programs-updated-for-2026-5h32</t>
  </si>
  <si>
    <t xml:space="preserve">Program list. Some entries are outdated (see the Programs sheet for 2026 corrections).</t>
  </si>
  <si>
    <t xml:space="preserve">List-of-OpenSource-Programs (vikas0799)</t>
  </si>
  <si>
    <t xml:space="preserve">https://github.com/vikas0799/List-of-OpenSource-Programs</t>
  </si>
  <si>
    <t xml:space="preserve">Programs, competitions and a 2026 timeline.</t>
  </si>
  <si>
    <t xml:space="preserve">Google Summer of Code</t>
  </si>
  <si>
    <t xml:space="preserve">https://summerofcode.withgoogle.com/</t>
  </si>
  <si>
    <t xml:space="preserve">Official site: orgs, timeline, FAQ.</t>
  </si>
  <si>
    <t xml:space="preserve">LFX Mentorship</t>
  </si>
  <si>
    <t xml:space="preserve">https://mentorship.lfx.linuxfoundation.org/#projects_all</t>
  </si>
  <si>
    <t xml:space="preserve">Official LFX project listings.</t>
  </si>
  <si>
    <t xml:space="preserve">Official</t>
  </si>
  <si>
    <t xml:space="preserve">GSoC timeline</t>
  </si>
  <si>
    <t xml:space="preserve">https://developers.google.com/open-source/gsoc/timeline</t>
  </si>
  <si>
    <t xml:space="preserve">Dates for the current year.</t>
  </si>
  <si>
    <t xml:space="preserve">GSoC AI guidance</t>
  </si>
  <si>
    <t xml:space="preserve">What AI use is allowed.</t>
  </si>
  <si>
    <t xml:space="preserve">CNCF mentoring repo</t>
  </si>
  <si>
    <t xml:space="preserve">https://github.com/cncf/mentoring</t>
  </si>
  <si>
    <t xml:space="preserve">All CNCF LFX/GSoC project ideas by term.</t>
  </si>
  <si>
    <t xml:space="preserve">LFX stipend amounts</t>
  </si>
  <si>
    <t xml:space="preserve">https://docs.linuxfoundation.org/lfx/mentorship/mentee-stipends</t>
  </si>
  <si>
    <t xml:space="preserve">Country-wise stipend.</t>
  </si>
  <si>
    <t xml:space="preserve">LFX program timelines</t>
  </si>
  <si>
    <t xml:space="preserve">Term dates.</t>
  </si>
  <si>
    <t xml:space="preserve">Find issues</t>
  </si>
  <si>
    <t xml:space="preserve">Good First Issues</t>
  </si>
  <si>
    <t xml:space="preserve">https://goodfirstissues.com/</t>
  </si>
  <si>
    <t xml:space="preserve">Curated beginner issues.</t>
  </si>
  <si>
    <t xml:space="preserve">Up For Grabs</t>
  </si>
  <si>
    <t xml:space="preserve">https://up-for-grabs.net/</t>
  </si>
  <si>
    <t xml:space="preserve">Projects looking for contributors.</t>
  </si>
  <si>
    <t xml:space="preserve">First Timers Only</t>
  </si>
  <si>
    <t xml:space="preserve">https://www.firsttimersonly.com/</t>
  </si>
  <si>
    <t xml:space="preserve">Guide + issues for first-timers.</t>
  </si>
  <si>
    <t xml:space="preserve">CodeTriage</t>
  </si>
  <si>
    <t xml:space="preserve">https://www.codetriage.com/</t>
  </si>
  <si>
    <t xml:space="preserve">Get issues in your inbox.</t>
  </si>
  <si>
    <t xml:space="preserve">Awesome for Beginners</t>
  </si>
  <si>
    <t xml:space="preserve">https://github.com/MunGell/awesome-for-beginners</t>
  </si>
  <si>
    <t xml:space="preserve">Beginner-friendly projects by language.</t>
  </si>
  <si>
    <t xml:space="preserve">GSoC 2026 explorer</t>
  </si>
  <si>
    <t xml:space="preserve">https://github.com/VincenzoImp/gsoc-2026-explorer</t>
  </si>
  <si>
    <t xml:space="preserve">All 185 GSoC 2026 orgs and ideas, searchable.</t>
  </si>
  <si>
    <t xml:space="preserve">Learn</t>
  </si>
  <si>
    <t xml:space="preserve">Pro Git book</t>
  </si>
  <si>
    <t xml:space="preserve">https://git-scm.com/book</t>
  </si>
  <si>
    <t xml:space="preserve">Free, complete Git guide.</t>
  </si>
  <si>
    <t xml:space="preserve">Learn Git Branching</t>
  </si>
  <si>
    <t xml:space="preserve">https://learngitbranching.js.org/</t>
  </si>
  <si>
    <t xml:space="preserve">Interactive visual Git practice.</t>
  </si>
  <si>
    <t xml:space="preserve">GitHub Skills</t>
  </si>
  <si>
    <t xml:space="preserve">https://skills.github.com/</t>
  </si>
  <si>
    <t xml:space="preserve">Hands-on GitHub courses.</t>
  </si>
  <si>
    <t xml:space="preserve">Open Source Guides</t>
  </si>
  <si>
    <t xml:space="preserve">https://opensource.guide/how-to-contribute/</t>
  </si>
  <si>
    <t xml:space="preserve">How to contribute, by GitHub.</t>
  </si>
  <si>
    <t xml:space="preserve">LFD103: Beginner's Guide to Linux Kernel Development</t>
  </si>
  <si>
    <t xml:space="preserve">https://training.linuxfoundation.org/training/a-beginners-guide-to-linux-kernel-development-lfd103/</t>
  </si>
  <si>
    <t xml:space="preserve">Free; required for LKMP.</t>
  </si>
  <si>
    <t xml:space="preserve">Conventional Commits</t>
  </si>
  <si>
    <t xml:space="preserve">https://www.conventionalcommits.org/</t>
  </si>
  <si>
    <t xml:space="preserve">Commit message format many repos use.</t>
  </si>
  <si>
    <t xml:space="preserve">Developer Certificate of Origin (DCO)</t>
  </si>
  <si>
    <t xml:space="preserve">https://developercertificate.org/</t>
  </si>
  <si>
    <t xml:space="preserve">What 'git commit -s' means.</t>
  </si>
  <si>
    <t xml:space="preserve">AI</t>
  </si>
  <si>
    <t xml:space="preserve">Open source AI contribution policies tracker</t>
  </si>
  <si>
    <t xml:space="preserve">200+ projects grouped by AI rules.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</si>
</sst>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2F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B2F4B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9"/>
      <name val="Courier New"/>
      <family val="0"/>
      <charset val="1"/>
    </font>
    <font>
      <b val="true"/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Courier Ne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F2E0"/>
        <bgColor rgb="FFE2EFDA"/>
      </patternFill>
    </fill>
    <fill>
      <patternFill patternType="solid">
        <fgColor rgb="FFFFE9C7"/>
        <bgColor rgb="FFFFF4C2"/>
      </patternFill>
    </fill>
    <fill>
      <patternFill patternType="solid">
        <fgColor rgb="FFF9D6D5"/>
        <bgColor rgb="FFF2DCDB"/>
      </patternFill>
    </fill>
    <fill>
      <patternFill patternType="solid">
        <fgColor rgb="FF1B2F4B"/>
        <bgColor rgb="FF003366"/>
      </patternFill>
    </fill>
    <fill>
      <patternFill patternType="solid">
        <fgColor rgb="FFFFF4C2"/>
        <bgColor rgb="FFFFE9C7"/>
      </patternFill>
    </fill>
    <fill>
      <patternFill patternType="solid">
        <fgColor rgb="FFF2DCDB"/>
        <bgColor rgb="FFF9D6D5"/>
      </patternFill>
    </fill>
    <fill>
      <patternFill patternType="solid">
        <fgColor rgb="FFC6EFCE"/>
        <bgColor rgb="FFD9F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2DB"/>
      </left>
      <right style="thin">
        <color rgb="FFCBD2DB"/>
      </right>
      <top style="thin">
        <color rgb="FFCBD2DB"/>
      </top>
      <bottom style="thin">
        <color rgb="FFCBD2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B2F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2E0"/>
          <bgColor rgb="FF000000"/>
        </patternFill>
      </fill>
    </dxf>
    <dxf>
      <fill>
        <patternFill patternType="solid">
          <fgColor rgb="FFF9D6D5"/>
          <bgColor rgb="FF000000"/>
        </patternFill>
      </fill>
    </dxf>
    <dxf>
      <fill>
        <patternFill patternType="solid">
          <fgColor rgb="FFFFE9C7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A9D8B8"/>
        </patternFill>
      </fill>
    </dxf>
    <dxf>
      <fill>
        <patternFill>
          <bgColor rgb="FFBDD7EE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D9D9D9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DC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8B8"/>
      <rgbColor rgb="FF808080"/>
      <rgbColor rgb="FF9999FF"/>
      <rgbColor rgb="FF993366"/>
      <rgbColor rgb="FFFFF4C2"/>
      <rgbColor rgb="FFD9F2E0"/>
      <rgbColor rgb="FF660066"/>
      <rgbColor rgb="FFFF8080"/>
      <rgbColor rgb="FF0563C1"/>
      <rgbColor rgb="FFCBD2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9C7"/>
      <rgbColor rgb="FFBDD7EE"/>
      <rgbColor rgb="FFF2DCDB"/>
      <rgbColor rgb="FFD9D9D9"/>
      <rgbColor rgb="FFF9D6D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F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Open_Source_Contribution_Guide_Oct2026.xlsx" TargetMode="External"/><Relationship Id="rId2" Type="http://schemas.openxmlformats.org/officeDocument/2006/relationships/hyperlink" Target="Open_Source_Contribution_Guide_Oct2026.xlsx" TargetMode="External"/><Relationship Id="rId3" Type="http://schemas.openxmlformats.org/officeDocument/2006/relationships/hyperlink" Target="Open_Source_Contribution_Guide_Oct2026.xlsx" TargetMode="External"/><Relationship Id="rId4" Type="http://schemas.openxmlformats.org/officeDocument/2006/relationships/hyperlink" Target="Open_Source_Contribution_Guide_Oct2026.xlsx" TargetMode="External"/><Relationship Id="rId5" Type="http://schemas.openxmlformats.org/officeDocument/2006/relationships/hyperlink" Target="Open_Source_Contribution_Guide_Oct2026.xlsx" TargetMode="External"/><Relationship Id="rId6" Type="http://schemas.openxmlformats.org/officeDocument/2006/relationships/hyperlink" Target="Open_Source_Contribution_Guide_Oct2026.xlsx" TargetMode="External"/><Relationship Id="rId7" Type="http://schemas.openxmlformats.org/officeDocument/2006/relationships/hyperlink" Target="Open_Source_Contribution_Guide_Oct2026.xlsx" TargetMode="External"/><Relationship Id="rId8" Type="http://schemas.openxmlformats.org/officeDocument/2006/relationships/hyperlink" Target="Open_Source_Contribution_Guide_Oct2026.xlsx" TargetMode="External"/><Relationship Id="rId9" Type="http://schemas.openxmlformats.org/officeDocument/2006/relationships/hyperlink" Target="Open_Source_Contribution_Guide_Oct2026.xlsx" TargetMode="External"/><Relationship Id="rId10" Type="http://schemas.openxmlformats.org/officeDocument/2006/relationships/hyperlink" Target="Open_Source_Contribution_Guide_Oct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github.com/oppia/oppia" TargetMode="External"/><Relationship Id="rId3" Type="http://schemas.openxmlformats.org/officeDocument/2006/relationships/hyperlink" Target="https://github.com/oppia/oppia/issues?q=is%3Aissue%20is%3Aopen%20label%3A%22good%20first%20issue%22%20no%3Aassignee" TargetMode="External"/><Relationship Id="rId4" Type="http://schemas.openxmlformats.org/officeDocument/2006/relationships/hyperlink" Target="https://github.com/oppia/oppia/blob/develop/.github/CONTRIBUTING.md" TargetMode="External"/><Relationship Id="rId5" Type="http://schemas.openxmlformats.org/officeDocument/2006/relationships/hyperlink" Target="https://github.com/oppia/oppia/blob/develop/AGENTS.md" TargetMode="External"/><Relationship Id="rId6" Type="http://schemas.openxmlformats.org/officeDocument/2006/relationships/hyperlink" Target="https://github.com/zulip/zulip" TargetMode="External"/><Relationship Id="rId7" Type="http://schemas.openxmlformats.org/officeDocument/2006/relationships/hyperlink" Target="https://github.com/zulip/zulip/issues?q=is%3Aissue%20is%3Aopen%20label%3A%22good%20first%20issue%22%20no%3Aassignee" TargetMode="External"/><Relationship Id="rId8" Type="http://schemas.openxmlformats.org/officeDocument/2006/relationships/hyperlink" Target="https://github.com/zulip/zulip/blob/main/CONTRIBUTING.md" TargetMode="External"/><Relationship Id="rId9" Type="http://schemas.openxmlformats.org/officeDocument/2006/relationships/hyperlink" Target="https://github.com/zulip/zulip/blob/main/AGENTS.md" TargetMode="External"/><Relationship Id="rId10" Type="http://schemas.openxmlformats.org/officeDocument/2006/relationships/hyperlink" Target="https://github.com/meshery/meshery" TargetMode="External"/><Relationship Id="rId11" Type="http://schemas.openxmlformats.org/officeDocument/2006/relationships/hyperlink" Target="https://github.com/meshery/meshery/issues?q=is%3Aissue%20is%3Aopen%20label%3A%22good%20first%20issue%22%20no%3Aassignee" TargetMode="External"/><Relationship Id="rId12" Type="http://schemas.openxmlformats.org/officeDocument/2006/relationships/hyperlink" Target="https://github.com/meshery/meshery/blob/master/CONTRIBUTING.md" TargetMode="External"/><Relationship Id="rId13" Type="http://schemas.openxmlformats.org/officeDocument/2006/relationships/hyperlink" Target="https://github.com/meshery/meshery/blob/master/AGENTS.md" TargetMode="External"/><Relationship Id="rId14" Type="http://schemas.openxmlformats.org/officeDocument/2006/relationships/hyperlink" Target="https://github.com/jaegertracing/jaeger-ui" TargetMode="External"/><Relationship Id="rId15" Type="http://schemas.openxmlformats.org/officeDocument/2006/relationships/hyperlink" Target="https://github.com/jaegertracing/jaeger-ui/issues?q=is%3Aissue%20is%3Aopen%20label%3A%22good%20first%20issue%22%20no%3Aassignee" TargetMode="External"/><Relationship Id="rId16" Type="http://schemas.openxmlformats.org/officeDocument/2006/relationships/hyperlink" Target="https://github.com/jaegertracing/jaeger-ui/blob/main/CONTRIBUTING.md" TargetMode="External"/><Relationship Id="rId17" Type="http://schemas.openxmlformats.org/officeDocument/2006/relationships/hyperlink" Target="https://github.com/jaegertracing/jaeger-ui/blob/main/AGENTS.md" TargetMode="External"/><Relationship Id="rId18" Type="http://schemas.openxmlformats.org/officeDocument/2006/relationships/hyperlink" Target="https://github.com/ohcnetwork/care_fe" TargetMode="External"/><Relationship Id="rId19" Type="http://schemas.openxmlformats.org/officeDocument/2006/relationships/hyperlink" Target="https://github.com/ohcnetwork/care_fe/issues?q=is%3Aissue%20is%3Aopen%20label%3A%22good%20first%20issue%22%20no%3Aassignee" TargetMode="External"/><Relationship Id="rId20" Type="http://schemas.openxmlformats.org/officeDocument/2006/relationships/hyperlink" Target="https://github.com/ohcnetwork/care_fe" TargetMode="External"/><Relationship Id="rId21" Type="http://schemas.openxmlformats.org/officeDocument/2006/relationships/hyperlink" Target="https://github.com/ohcnetwork/care_fe/blob/develop/AGENTS.md" TargetMode="External"/><Relationship Id="rId22" Type="http://schemas.openxmlformats.org/officeDocument/2006/relationships/hyperlink" Target="https://github.com/CircuitVerse/cv-frontend-vue" TargetMode="External"/><Relationship Id="rId23" Type="http://schemas.openxmlformats.org/officeDocument/2006/relationships/hyperlink" Target="https://github.com/CircuitVerse/cv-frontend-vue/issues?q=is%3Aissue%20is%3Aopen%20label%3A%22good%20first%20issue%22%20no%3Aassignee" TargetMode="External"/><Relationship Id="rId24" Type="http://schemas.openxmlformats.org/officeDocument/2006/relationships/hyperlink" Target="https://github.com/CircuitVerse/cv-frontend-vue" TargetMode="External"/><Relationship Id="rId25" Type="http://schemas.openxmlformats.org/officeDocument/2006/relationships/hyperlink" Target="https://github.com/CircuitVerse/cv-frontend-vue/blob/main/AGENTS.md" TargetMode="External"/><Relationship Id="rId26" Type="http://schemas.openxmlformats.org/officeDocument/2006/relationships/hyperlink" Target="https://github.com/foss42/apidash" TargetMode="External"/><Relationship Id="rId27" Type="http://schemas.openxmlformats.org/officeDocument/2006/relationships/hyperlink" Target="https://github.com/foss42/apidash/issues?q=is%3Aissue%20is%3Aopen%20label%3A%22good%20first%20issue%22%20no%3Aassignee" TargetMode="External"/><Relationship Id="rId28" Type="http://schemas.openxmlformats.org/officeDocument/2006/relationships/hyperlink" Target="https://github.com/foss42/apidash/blob/main/CONTRIBUTING.md" TargetMode="External"/><Relationship Id="rId29" Type="http://schemas.openxmlformats.org/officeDocument/2006/relationships/hyperlink" Target="https://github.com/foss42/apidash/blob/main/AGENTS.md" TargetMode="External"/><Relationship Id="rId30" Type="http://schemas.openxmlformats.org/officeDocument/2006/relationships/hyperlink" Target="https://github.com/kiwix/kiwix-js" TargetMode="External"/><Relationship Id="rId31" Type="http://schemas.openxmlformats.org/officeDocument/2006/relationships/hyperlink" Target="https://github.com/kiwix/kiwix-js/issues?q=is%3Aissue%20is%3Aopen%20label%3A%22good%20first%20issue%22%20no%3Aassignee" TargetMode="External"/><Relationship Id="rId32" Type="http://schemas.openxmlformats.org/officeDocument/2006/relationships/hyperlink" Target="https://github.com/kiwix/kiwix-js/blob/main/CONTRIBUTING.md" TargetMode="External"/><Relationship Id="rId33" Type="http://schemas.openxmlformats.org/officeDocument/2006/relationships/hyperlink" Target="https://github.com/openmrs/openmrs-esm-patient-chart" TargetMode="External"/><Relationship Id="rId34" Type="http://schemas.openxmlformats.org/officeDocument/2006/relationships/hyperlink" Target="https://openmrs.atlassian.net/" TargetMode="External"/><Relationship Id="rId35" Type="http://schemas.openxmlformats.org/officeDocument/2006/relationships/hyperlink" Target="https://github.com/openmrs/openmrs-esm-patient-chart" TargetMode="External"/><Relationship Id="rId36" Type="http://schemas.openxmlformats.org/officeDocument/2006/relationships/hyperlink" Target="https://github.com/internetarchive/openlibrary" TargetMode="External"/><Relationship Id="rId37" Type="http://schemas.openxmlformats.org/officeDocument/2006/relationships/hyperlink" Target="https://github.com/internetarchive/openlibrary/issues?q=is%3Aissue%20is%3Aopen%20label%3A%22good%20first%20issue%22%20no%3Aassignee" TargetMode="External"/><Relationship Id="rId38" Type="http://schemas.openxmlformats.org/officeDocument/2006/relationships/hyperlink" Target="https://github.com/internetarchive/openlibrary/blob/master/CONTRIBUTING.md" TargetMode="External"/><Relationship Id="rId39" Type="http://schemas.openxmlformats.org/officeDocument/2006/relationships/hyperlink" Target="https://github.com/internetarchive/openlibrary/blob/master/AGENTS.md" TargetMode="External"/><Relationship Id="rId40" Type="http://schemas.openxmlformats.org/officeDocument/2006/relationships/hyperlink" Target="https://github.com/wagtail/wagtail" TargetMode="External"/><Relationship Id="rId41" Type="http://schemas.openxmlformats.org/officeDocument/2006/relationships/hyperlink" Target="https://github.com/wagtail/wagtail/issues?q=is%3Aissue%20is%3Aopen%20label%3A%22good%20first%20issue%22%20no%3Aassignee" TargetMode="External"/><Relationship Id="rId42" Type="http://schemas.openxmlformats.org/officeDocument/2006/relationships/hyperlink" Target="https://github.com/wagtail/wagtail/blob/main/.github/CONTRIBUTING.md" TargetMode="External"/><Relationship Id="rId43" Type="http://schemas.openxmlformats.org/officeDocument/2006/relationships/hyperlink" Target="https://github.com/wagtail/wagtail/blob/main/AGENTS.md" TargetMode="External"/><Relationship Id="rId44" Type="http://schemas.openxmlformats.org/officeDocument/2006/relationships/hyperlink" Target="https://github.com/sugarlabs/musicblocks" TargetMode="External"/><Relationship Id="rId45" Type="http://schemas.openxmlformats.org/officeDocument/2006/relationships/hyperlink" Target="https://github.com/sugarlabs/musicblocks/issues?q=is%3Aissue%20is%3Aopen%20label%3A%22good%20first%20issue%22%20no%3Aassignee" TargetMode="External"/><Relationship Id="rId46" Type="http://schemas.openxmlformats.org/officeDocument/2006/relationships/hyperlink" Target="https://github.com/sugarlabs/musicblocks/blob/master/CONTRIBUTING.md" TargetMode="External"/><Relationship Id="rId47" Type="http://schemas.openxmlformats.org/officeDocument/2006/relationships/hyperlink" Target="https://github.com/sugarlabs/musicblocks/blob/master/AGENTS.md" TargetMode="External"/><Relationship Id="rId48" Type="http://schemas.openxmlformats.org/officeDocument/2006/relationships/hyperlink" Target="https://github.com/learningequality/kolibri" TargetMode="External"/><Relationship Id="rId49" Type="http://schemas.openxmlformats.org/officeDocument/2006/relationships/hyperlink" Target="https://github.com/learningequality/kolibri/issues?q=is%3Aissue%20is%3Aopen%20label%3A%22good%20first%20issue%22%20no%3Aassignee" TargetMode="External"/><Relationship Id="rId50" Type="http://schemas.openxmlformats.org/officeDocument/2006/relationships/hyperlink" Target="https://github.com/learningequality/kolibri" TargetMode="External"/><Relationship Id="rId51" Type="http://schemas.openxmlformats.org/officeDocument/2006/relationships/hyperlink" Target="https://github.com/learningequality/kolibri/blob/develop/AGENTS.md" TargetMode="External"/><Relationship Id="rId52" Type="http://schemas.openxmlformats.org/officeDocument/2006/relationships/hyperlink" Target="https://github.com/processing/p5.js" TargetMode="External"/><Relationship Id="rId53" Type="http://schemas.openxmlformats.org/officeDocument/2006/relationships/hyperlink" Target="https://github.com/processing/p5.js/issues?q=is%3Aissue%20is%3Aopen%20label%3A%22good%20first%20issue%22%20no%3Aassignee" TargetMode="External"/><Relationship Id="rId54" Type="http://schemas.openxmlformats.org/officeDocument/2006/relationships/hyperlink" Target="https://github.com/processing/p5.js/blob/main/CONTRIBUTING.md" TargetMode="External"/><Relationship Id="rId55" Type="http://schemas.openxmlformats.org/officeDocument/2006/relationships/hyperlink" Target="https://github.com/processing/p5.js/blob/main/AGENTS.md" TargetMode="External"/><Relationship Id="rId56" Type="http://schemas.openxmlformats.org/officeDocument/2006/relationships/hyperlink" Target="https://github.com/juice-shop/juice-shop" TargetMode="External"/><Relationship Id="rId57" Type="http://schemas.openxmlformats.org/officeDocument/2006/relationships/hyperlink" Target="https://github.com/juice-shop/juice-shop/issues?q=is%3Aissue%20is%3Aopen%20label%3A%22good%20first%20issue%22%20no%3Aassignee" TargetMode="External"/><Relationship Id="rId58" Type="http://schemas.openxmlformats.org/officeDocument/2006/relationships/hyperlink" Target="https://github.com/juice-shop/juice-shop/blob/develop/CONTRIBUTING.md" TargetMode="External"/><Relationship Id="rId59" Type="http://schemas.openxmlformats.org/officeDocument/2006/relationships/hyperlink" Target="https://github.com/juice-shop/juice-shop/blob/develop/AGENTS.md" TargetMode="External"/><Relationship Id="rId60" Type="http://schemas.openxmlformats.org/officeDocument/2006/relationships/hyperlink" Target="https://github.com/json-schema-org/website" TargetMode="External"/><Relationship Id="rId61" Type="http://schemas.openxmlformats.org/officeDocument/2006/relationships/hyperlink" Target="https://github.com/json-schema-org/website/issues?q=is%3Aissue%20is%3Aopen%20label%3A%22good%20first%20issue%22%20no%3Aassignee" TargetMode="External"/><Relationship Id="rId62" Type="http://schemas.openxmlformats.org/officeDocument/2006/relationships/hyperlink" Target="https://github.com/json-schema-org/website/blob/main/CONTRIBUTING.md" TargetMode="External"/><Relationship Id="rId63" Type="http://schemas.openxmlformats.org/officeDocument/2006/relationships/hyperlink" Target="https://github.com/accordproject/template-playground" TargetMode="External"/><Relationship Id="rId64" Type="http://schemas.openxmlformats.org/officeDocument/2006/relationships/hyperlink" Target="https://github.com/accordproject/template-playground/issues?q=is%3Aissue%20is%3Aopen%20label%3A%22good%20first%20issue%22%20no%3Aassignee" TargetMode="External"/><Relationship Id="rId65" Type="http://schemas.openxmlformats.org/officeDocument/2006/relationships/hyperlink" Target="https://github.com/accordproject/template-playground/blob/main/CONTRIBUTING.md" TargetMode="External"/><Relationship Id="rId66" Type="http://schemas.openxmlformats.org/officeDocument/2006/relationships/hyperlink" Target="https://github.com/accordproject/template-playground/blob/main/AGENTS.md" TargetMode="External"/><Relationship Id="rId67" Type="http://schemas.openxmlformats.org/officeDocument/2006/relationships/hyperlink" Target="https://github.com/RocketChat/Rocket.Chat" TargetMode="External"/><Relationship Id="rId68" Type="http://schemas.openxmlformats.org/officeDocument/2006/relationships/hyperlink" Target="https://github.com/RocketChat/Rocket.Chat/issues?q=is%3Aissue%20is%3Aopen%20label%3A%22good%20first%20issue%22%20no%3Aassignee" TargetMode="External"/><Relationship Id="rId69" Type="http://schemas.openxmlformats.org/officeDocument/2006/relationships/hyperlink" Target="https://github.com/RocketChat/Rocket.Chat/blob/develop/.github/CONTRIBUTING.md" TargetMode="External"/><Relationship Id="rId70" Type="http://schemas.openxmlformats.org/officeDocument/2006/relationships/hyperlink" Target="https://github.com/jitsi/jitsi-meet" TargetMode="External"/><Relationship Id="rId71" Type="http://schemas.openxmlformats.org/officeDocument/2006/relationships/hyperlink" Target="https://github.com/jitsi/jitsi-meet/issues?q=is%3Aissue%20is%3Aopen%20label%3A%22good%20first%20issue%22%20no%3Aassignee" TargetMode="External"/><Relationship Id="rId72" Type="http://schemas.openxmlformats.org/officeDocument/2006/relationships/hyperlink" Target="https://github.com/jitsi/jitsi-meet/blob/master/CONTRIBUTING.md" TargetMode="External"/><Relationship Id="rId73" Type="http://schemas.openxmlformats.org/officeDocument/2006/relationships/hyperlink" Target="https://github.com/Submitty/Submitty" TargetMode="External"/><Relationship Id="rId74" Type="http://schemas.openxmlformats.org/officeDocument/2006/relationships/hyperlink" Target="https://github.com/Submitty/Submitty/issues?q=is%3Aissue%20is%3Aopen%20label%3A%22good%20first%20issue%22%20no%3Aassignee" TargetMode="External"/><Relationship Id="rId75" Type="http://schemas.openxmlformats.org/officeDocument/2006/relationships/hyperlink" Target="https://github.com/Submitty/Submitty/blob/main/CONTRIBUTING.md" TargetMode="External"/><Relationship Id="rId76" Type="http://schemas.openxmlformats.org/officeDocument/2006/relationships/hyperlink" Target="https://github.com/omegaup/omegaup" TargetMode="External"/><Relationship Id="rId77" Type="http://schemas.openxmlformats.org/officeDocument/2006/relationships/hyperlink" Target="https://github.com/omegaup/omegaup/issues?q=is%3Aissue%20is%3Aopen%20label%3A%22good%20first%20issue%22%20no%3Aassignee" TargetMode="External"/><Relationship Id="rId78" Type="http://schemas.openxmlformats.org/officeDocument/2006/relationships/hyperlink" Target="https://github.com/omegaup/omegaup/blob/main/CONTRIBUTING.md" TargetMode="External"/><Relationship Id="rId79" Type="http://schemas.openxmlformats.org/officeDocument/2006/relationships/hyperlink" Target="https://github.com/ankidroid/Anki-Android" TargetMode="External"/><Relationship Id="rId80" Type="http://schemas.openxmlformats.org/officeDocument/2006/relationships/hyperlink" Target="https://github.com/ankidroid/Anki-Android/issues?q=is%3Aissue%20is%3Aopen%20label%3A%22good%20first%20issue%22%20no%3Aassignee" TargetMode="External"/><Relationship Id="rId81" Type="http://schemas.openxmlformats.org/officeDocument/2006/relationships/hyperlink" Target="https://github.com/ankidroid/Anki-Android/blob/main/CONTRIBUTING.md" TargetMode="External"/><Relationship Id="rId82" Type="http://schemas.openxmlformats.org/officeDocument/2006/relationships/hyperlink" Target="https://github.com/ankidroid/Anki-Android/blob/main/AI_POLICY.md" TargetMode="External"/><Relationship Id="rId83" Type="http://schemas.openxmlformats.org/officeDocument/2006/relationships/hyperlink" Target="https://github.com/JabRef/jabref" TargetMode="External"/><Relationship Id="rId84" Type="http://schemas.openxmlformats.org/officeDocument/2006/relationships/hyperlink" Target="https://github.com/JabRef/jabref/issues?q=is%3Aissue%20is%3Aopen%20label%3A%22good%20first%20issue%22%20no%3Aassignee" TargetMode="External"/><Relationship Id="rId85" Type="http://schemas.openxmlformats.org/officeDocument/2006/relationships/hyperlink" Target="https://github.com/JabRef/jabref/blob/main/CONTRIBUTING.md" TargetMode="External"/><Relationship Id="rId86" Type="http://schemas.openxmlformats.org/officeDocument/2006/relationships/hyperlink" Target="https://github.com/JabRef/jabref/blob/main/AGENTS.md" TargetMode="External"/><Relationship Id="rId87" Type="http://schemas.openxmlformats.org/officeDocument/2006/relationships/hyperlink" Target="https://github.com/metabrainz/listenbrainz-server" TargetMode="External"/><Relationship Id="rId88" Type="http://schemas.openxmlformats.org/officeDocument/2006/relationships/hyperlink" Target="https://github.com/metabrainz/listenbrainz-server/issues?q=is%3Aissue%20is%3Aopen%20label%3A%22good%20first%20issue%22%20no%3Aassignee" TargetMode="External"/><Relationship Id="rId89" Type="http://schemas.openxmlformats.org/officeDocument/2006/relationships/hyperlink" Target="https://github.com/metabrainz/listenbrainz-server/blob/master/.github/CONTRIBUTING.md" TargetMode="External"/><Relationship Id="rId90" Type="http://schemas.openxmlformats.org/officeDocument/2006/relationships/hyperlink" Target="https://github.com/openstreetmap/iD" TargetMode="External"/><Relationship Id="rId91" Type="http://schemas.openxmlformats.org/officeDocument/2006/relationships/hyperlink" Target="https://github.com/openstreetmap/iD/issues?q=is%3Aissue%20is%3Aopen%20label%3A%22good%20first%20issue%22%20no%3Aassignee" TargetMode="External"/><Relationship Id="rId92" Type="http://schemas.openxmlformats.org/officeDocument/2006/relationships/hyperlink" Target="https://github.com/openstreetmap/iD/blob/develop/CONTRIBUTING.md" TargetMode="External"/><Relationship Id="rId93" Type="http://schemas.openxmlformats.org/officeDocument/2006/relationships/hyperlink" Target="https://github.com/sympy/sympy" TargetMode="External"/><Relationship Id="rId94" Type="http://schemas.openxmlformats.org/officeDocument/2006/relationships/hyperlink" Target="https://github.com/sympy/sympy/issues?q=is%3Aissue%20is%3Aopen%20label%3A%22good%20first%20issue%22%20no%3Aassignee" TargetMode="External"/><Relationship Id="rId95" Type="http://schemas.openxmlformats.org/officeDocument/2006/relationships/hyperlink" Target="https://github.com/sympy/sympy/blob/master/CONTRIBUTING.md" TargetMode="External"/><Relationship Id="rId96" Type="http://schemas.openxmlformats.org/officeDocument/2006/relationships/hyperlink" Target="https://github.com/sympy/sympy/blob/master/AGENTS.md" TargetMode="External"/><Relationship Id="rId97" Type="http://schemas.openxmlformats.org/officeDocument/2006/relationships/hyperlink" Target="https://github.com/stdlib-js/stdlib" TargetMode="External"/><Relationship Id="rId98" Type="http://schemas.openxmlformats.org/officeDocument/2006/relationships/hyperlink" Target="https://github.com/stdlib-js/stdlib/issues?q=is%3Aissue%20is%3Aopen%20label%3A%22good%20first%20issue%22%20no%3Aassignee" TargetMode="External"/><Relationship Id="rId99" Type="http://schemas.openxmlformats.org/officeDocument/2006/relationships/hyperlink" Target="https://github.com/stdlib-js/stdlib/blob/develop/CONTRIBUTING.md" TargetMode="External"/><Relationship Id="rId100" Type="http://schemas.openxmlformats.org/officeDocument/2006/relationships/hyperlink" Target="https://github.com/fossasia/eventyay" TargetMode="External"/><Relationship Id="rId101" Type="http://schemas.openxmlformats.org/officeDocument/2006/relationships/hyperlink" Target="https://github.com/fossasia/eventyay/issues?q=is%3Aissue%20is%3Aopen%20label%3A%22good%20first%20issue%22%20no%3Aassignee" TargetMode="External"/><Relationship Id="rId102" Type="http://schemas.openxmlformats.org/officeDocument/2006/relationships/hyperlink" Target="https://github.com/fossasia/eventyay/blob/dev/CONTRIBUTING.md" TargetMode="External"/><Relationship Id="rId103" Type="http://schemas.openxmlformats.org/officeDocument/2006/relationships/hyperlink" Target="https://github.com/fossasia/eventyay/blob/dev/agents.md" TargetMode="External"/><Relationship Id="rId104" Type="http://schemas.openxmlformats.org/officeDocument/2006/relationships/hyperlink" Target="https://github.com/openMF/web-app" TargetMode="External"/><Relationship Id="rId105" Type="http://schemas.openxmlformats.org/officeDocument/2006/relationships/hyperlink" Target="https://github.com/openMF/web-app/issues?q=is%3Aissue%20is%3Aopen%20label%3A%22good%20first%20issue%22%20no%3Aassignee" TargetMode="External"/><Relationship Id="rId106" Type="http://schemas.openxmlformats.org/officeDocument/2006/relationships/hyperlink" Target="https://github.com/openMF/web-app/blob/dev/CONTRIBUTING.md" TargetMode="External"/><Relationship Id="rId107" Type="http://schemas.openxmlformats.org/officeDocument/2006/relationships/hyperlink" Target="https://github.com/openMF/web-app/blob/dev/AGENTS.md" TargetMode="External"/><Relationship Id="rId108" Type="http://schemas.openxmlformats.org/officeDocument/2006/relationships/hyperlink" Target="https://github.com/AOSSIE-Org/PictoPy" TargetMode="External"/><Relationship Id="rId109" Type="http://schemas.openxmlformats.org/officeDocument/2006/relationships/hyperlink" Target="https://github.com/AOSSIE-Org/PictoPy/issues?q=is%3Aissue%20is%3Aopen%20label%3A%22good%20first%20issue%22%20no%3Aassignee" TargetMode="External"/><Relationship Id="rId110" Type="http://schemas.openxmlformats.org/officeDocument/2006/relationships/hyperlink" Target="https://github.com/AOSSIE-Org/PictoPy/blob/dev/CONTRIBUTING.md" TargetMode="External"/><Relationship Id="rId111" Type="http://schemas.openxmlformats.org/officeDocument/2006/relationships/hyperlink" Target="https://github.com/AOSSIE-Org/PictoPy/blob/dev/AGENTS.md" TargetMode="External"/><Relationship Id="rId112" Type="http://schemas.openxmlformats.org/officeDocument/2006/relationships/hyperlink" Target="https://github.com/learning-unlimited/ESP-Website" TargetMode="External"/><Relationship Id="rId113" Type="http://schemas.openxmlformats.org/officeDocument/2006/relationships/hyperlink" Target="https://github.com/learning-unlimited/ESP-Website/issues?q=is%3Aissue%20is%3Aopen%20label%3A%22good%20first%20issue%22%20no%3Aassignee" TargetMode="External"/><Relationship Id="rId114" Type="http://schemas.openxmlformats.org/officeDocument/2006/relationships/hyperlink" Target="https://github.com/learning-unlimited/ESP-Website" TargetMode="External"/><Relationship Id="rId115" Type="http://schemas.openxmlformats.org/officeDocument/2006/relationships/hyperlink" Target="https://github.com/freeCodeCamp/freeCodeCamp" TargetMode="External"/><Relationship Id="rId116" Type="http://schemas.openxmlformats.org/officeDocument/2006/relationships/hyperlink" Target="https://github.com/freeCodeCamp/freeCodeCamp/issues?q=is%3Aissue%20is%3Aopen%20label%3A%22good%20first%20issue%22%20no%3Aassignee" TargetMode="External"/><Relationship Id="rId117" Type="http://schemas.openxmlformats.org/officeDocument/2006/relationships/hyperlink" Target="https://github.com/freeCodeCamp/freeCodeCamp" TargetMode="External"/><Relationship Id="rId118" Type="http://schemas.openxmlformats.org/officeDocument/2006/relationships/hyperlink" Target="https://github.com/hoppscotch/hoppscotch" TargetMode="External"/><Relationship Id="rId119" Type="http://schemas.openxmlformats.org/officeDocument/2006/relationships/hyperlink" Target="https://github.com/hoppscotch/hoppscotch/issues?q=is%3Aissue%20is%3Aopen%20label%3A%22good%20first%20issue%22%20no%3Aassignee" TargetMode="External"/><Relationship Id="rId120" Type="http://schemas.openxmlformats.org/officeDocument/2006/relationships/hyperlink" Target="https://github.com/hoppscotch/hoppscotch/blob/main/CONTRIBUTING.md" TargetMode="External"/><Relationship Id="rId121" Type="http://schemas.openxmlformats.org/officeDocument/2006/relationships/hyperlink" Target="https://github.com/kubernetes-sigs/headlamp" TargetMode="External"/><Relationship Id="rId122" Type="http://schemas.openxmlformats.org/officeDocument/2006/relationships/hyperlink" Target="https://github.com/kubernetes-sigs/headlamp/issues?q=is%3Aissue%20is%3Aopen%20label%3A%22good%20first%20issue%22%20no%3Aassignee" TargetMode="External"/><Relationship Id="rId123" Type="http://schemas.openxmlformats.org/officeDocument/2006/relationships/hyperlink" Target="https://github.com/kubernetes-sigs/headlamp/blob/main/CONTRIBUTING.md" TargetMode="External"/><Relationship Id="rId124" Type="http://schemas.openxmlformats.org/officeDocument/2006/relationships/hyperlink" Target="https://github.com/kubernetes-sigs/headlamp/blob/main/AGENTS.md" TargetMode="External"/><Relationship Id="rId125" Type="http://schemas.openxmlformats.org/officeDocument/2006/relationships/hyperlink" Target="https://github.com/openeverest/openeverest" TargetMode="External"/><Relationship Id="rId126" Type="http://schemas.openxmlformats.org/officeDocument/2006/relationships/hyperlink" Target="https://github.com/openeverest/openeverest/issues?q=is%3Aissue%20is%3Aopen%20label%3A%22good%20first%20issue%22%20no%3Aassignee" TargetMode="External"/><Relationship Id="rId127" Type="http://schemas.openxmlformats.org/officeDocument/2006/relationships/hyperlink" Target="https://github.com/openeverest/openeverest/blob/main/CONTRIBUTING.md" TargetMode="External"/><Relationship Id="rId128" Type="http://schemas.openxmlformats.org/officeDocument/2006/relationships/hyperlink" Target="https://github.com/openeverest/openeverest/blob/main/AGENTS.md" TargetMode="External"/><Relationship Id="rId129" Type="http://schemas.openxmlformats.org/officeDocument/2006/relationships/hyperlink" Target="https://github.com/pipe-cd/pipecd" TargetMode="External"/><Relationship Id="rId130" Type="http://schemas.openxmlformats.org/officeDocument/2006/relationships/hyperlink" Target="https://github.com/pipe-cd/pipecd/issues?q=is%3Aissue%20is%3Aopen%20label%3A%22good%20first%20issue%22%20no%3Aassignee" TargetMode="External"/><Relationship Id="rId131" Type="http://schemas.openxmlformats.org/officeDocument/2006/relationships/hyperlink" Target="https://github.com/pipe-cd/pipecd/blob/master/CONTRIBUTING.md" TargetMode="External"/><Relationship Id="rId132" Type="http://schemas.openxmlformats.org/officeDocument/2006/relationships/hyperlink" Target="https://github.com/kubescape/kubescape" TargetMode="External"/><Relationship Id="rId133" Type="http://schemas.openxmlformats.org/officeDocument/2006/relationships/hyperlink" Target="https://github.com/kubescape/kubescape/issues?q=is%3Aissue%20is%3Aopen%20label%3A%22good%20first%20issue%22%20no%3Aassignee" TargetMode="External"/><Relationship Id="rId134" Type="http://schemas.openxmlformats.org/officeDocument/2006/relationships/hyperlink" Target="https://github.com/kubescape/kubescape/blob/master/CONTRIBUTING.md" TargetMode="External"/><Relationship Id="rId135" Type="http://schemas.openxmlformats.org/officeDocument/2006/relationships/hyperlink" Target="https://github.com/kyverno/kyverno" TargetMode="External"/><Relationship Id="rId136" Type="http://schemas.openxmlformats.org/officeDocument/2006/relationships/hyperlink" Target="https://github.com/kyverno/kyverno/issues?q=is%3Aissue%20is%3Aopen%20label%3A%22good%20first%20issue%22%20no%3Aassignee" TargetMode="External"/><Relationship Id="rId137" Type="http://schemas.openxmlformats.org/officeDocument/2006/relationships/hyperlink" Target="https://github.com/kyverno/kyverno/blob/main/CONTRIBUTING.md" TargetMode="External"/><Relationship Id="rId138" Type="http://schemas.openxmlformats.org/officeDocument/2006/relationships/hyperlink" Target="https://github.com/kyverno/kyverno/blob/main/AGENTS.md" TargetMode="External"/><Relationship Id="rId139" Type="http://schemas.openxmlformats.org/officeDocument/2006/relationships/hyperlink" Target="https://github.com/kubeflow/pipelines" TargetMode="External"/><Relationship Id="rId140" Type="http://schemas.openxmlformats.org/officeDocument/2006/relationships/hyperlink" Target="https://github.com/kubeflow/pipelines/issues?q=is%3Aissue%20is%3Aopen%20label%3A%22good%20first%20issue%22%20no%3Aassignee" TargetMode="External"/><Relationship Id="rId141" Type="http://schemas.openxmlformats.org/officeDocument/2006/relationships/hyperlink" Target="https://github.com/kubeflow/pipelines/blob/master/CONTRIBUTING.md" TargetMode="External"/><Relationship Id="rId142" Type="http://schemas.openxmlformats.org/officeDocument/2006/relationships/hyperlink" Target="https://github.com/kubeflow/pipelines/blob/master/AGENTS.md" TargetMode="External"/><Relationship Id="rId143" Type="http://schemas.openxmlformats.org/officeDocument/2006/relationships/hyperlink" Target="https://github.com/kubeedge/kubeedge" TargetMode="External"/><Relationship Id="rId144" Type="http://schemas.openxmlformats.org/officeDocument/2006/relationships/hyperlink" Target="https://github.com/kubeedge/kubeedge/issues?q=is%3Aissue%20is%3Aopen%20label%3A%22good%20first%20issue%22%20no%3Aassignee" TargetMode="External"/><Relationship Id="rId145" Type="http://schemas.openxmlformats.org/officeDocument/2006/relationships/hyperlink" Target="https://github.com/kubeedge/kubeedge/blob/master/CONTRIBUTING.md" TargetMode="External"/><Relationship Id="rId146" Type="http://schemas.openxmlformats.org/officeDocument/2006/relationships/hyperlink" Target="https://github.com/volcano-sh/kthena" TargetMode="External"/><Relationship Id="rId147" Type="http://schemas.openxmlformats.org/officeDocument/2006/relationships/hyperlink" Target="https://github.com/volcano-sh/kthena/issues?q=is%3Aissue%20is%3Aopen%20label%3A%22good%20first%20issue%22%20no%3Aassignee" TargetMode="External"/><Relationship Id="rId148" Type="http://schemas.openxmlformats.org/officeDocument/2006/relationships/hyperlink" Target="https://github.com/volcano-sh/kthena/blob/main/CONTRIBUTING.md" TargetMode="External"/><Relationship Id="rId149" Type="http://schemas.openxmlformats.org/officeDocument/2006/relationships/hyperlink" Target="https://github.com/volcano-sh/kthena/blob/main/AGENTS.md" TargetMode="External"/><Relationship Id="rId150" Type="http://schemas.openxmlformats.org/officeDocument/2006/relationships/hyperlink" Target="https://github.com/kubevela/kubevela" TargetMode="External"/><Relationship Id="rId151" Type="http://schemas.openxmlformats.org/officeDocument/2006/relationships/hyperlink" Target="https://github.com/kubevela/kubevela/issues?q=is%3Aissue%20is%3Aopen%20label%3A%22good%20first%20issue%22%20no%3Aassignee" TargetMode="External"/><Relationship Id="rId152" Type="http://schemas.openxmlformats.org/officeDocument/2006/relationships/hyperlink" Target="https://github.com/kubevela/kubevela/blob/master/CONTRIBUTING.md" TargetMode="External"/><Relationship Id="rId153" Type="http://schemas.openxmlformats.org/officeDocument/2006/relationships/hyperlink" Target="https://github.com/litmuschaos/litmus" TargetMode="External"/><Relationship Id="rId154" Type="http://schemas.openxmlformats.org/officeDocument/2006/relationships/hyperlink" Target="https://github.com/litmuschaos/litmus/issues?q=is%3Aissue%20is%3Aopen%20label%3A%22good%20first%20issue%22%20no%3Aassignee" TargetMode="External"/><Relationship Id="rId155" Type="http://schemas.openxmlformats.org/officeDocument/2006/relationships/hyperlink" Target="https://github.com/litmuschaos/litmus/blob/master/CONTRIBUTING.md" TargetMode="External"/><Relationship Id="rId156" Type="http://schemas.openxmlformats.org/officeDocument/2006/relationships/hyperlink" Target="https://github.com/goharbor/harbor" TargetMode="External"/><Relationship Id="rId157" Type="http://schemas.openxmlformats.org/officeDocument/2006/relationships/hyperlink" Target="https://github.com/goharbor/harbor/issues?q=is%3Aissue%20is%3Aopen%20label%3A%22good%20first%20issue%22%20no%3Aassignee" TargetMode="External"/><Relationship Id="rId158" Type="http://schemas.openxmlformats.org/officeDocument/2006/relationships/hyperlink" Target="https://github.com/goharbor/harbor/blob/main/CONTRIBUTING.md" TargetMode="External"/><Relationship Id="rId159" Type="http://schemas.openxmlformats.org/officeDocument/2006/relationships/hyperlink" Target="https://github.com/lima-vm/lima" TargetMode="External"/><Relationship Id="rId160" Type="http://schemas.openxmlformats.org/officeDocument/2006/relationships/hyperlink" Target="https://github.com/lima-vm/lima/issues?q=is%3Aissue%20is%3Aopen%20label%3A%22good%20first%20issue%22%20no%3Aassignee" TargetMode="External"/><Relationship Id="rId161" Type="http://schemas.openxmlformats.org/officeDocument/2006/relationships/hyperlink" Target="https://github.com/lima-vm/lima" TargetMode="External"/><Relationship Id="rId162" Type="http://schemas.openxmlformats.org/officeDocument/2006/relationships/hyperlink" Target="https://github.com/lima-vm/lima/blob/master/AGENTS.md" TargetMode="External"/><Relationship Id="rId163" Type="http://schemas.openxmlformats.org/officeDocument/2006/relationships/hyperlink" Target="https://github.com/open-telemetry/opentelemetry-js" TargetMode="External"/><Relationship Id="rId164" Type="http://schemas.openxmlformats.org/officeDocument/2006/relationships/hyperlink" Target="https://github.com/open-telemetry/opentelemetry-js/issues?q=is%3Aissue%20is%3Aopen%20label%3A%22good%20first%20issue%22%20no%3Aassignee" TargetMode="External"/><Relationship Id="rId165" Type="http://schemas.openxmlformats.org/officeDocument/2006/relationships/hyperlink" Target="https://github.com/open-telemetry/opentelemetry-js/blob/main/CONTRIBUTING.md" TargetMode="External"/><Relationship Id="rId166" Type="http://schemas.openxmlformats.org/officeDocument/2006/relationships/hyperlink" Target="https://github.com/openkruise/agents" TargetMode="External"/><Relationship Id="rId167" Type="http://schemas.openxmlformats.org/officeDocument/2006/relationships/hyperlink" Target="https://github.com/openkruise/agents/issues?q=is%3Aissue%20is%3Aopen%20label%3A%22good%20first%20issue%22%20no%3Aassignee" TargetMode="External"/><Relationship Id="rId168" Type="http://schemas.openxmlformats.org/officeDocument/2006/relationships/hyperlink" Target="https://github.com/openkruise/agents/blob/master/CONTRIBUTING.md" TargetMode="External"/><Relationship Id="rId169" Type="http://schemas.openxmlformats.org/officeDocument/2006/relationships/hyperlink" Target="https://github.com/openkruise/agents/blob/master/AGENTS.md" TargetMode="External"/><Relationship Id="rId170" Type="http://schemas.openxmlformats.org/officeDocument/2006/relationships/hyperlink" Target="https://github.com/kubearmor/KubeArmor" TargetMode="External"/><Relationship Id="rId171" Type="http://schemas.openxmlformats.org/officeDocument/2006/relationships/hyperlink" Target="https://github.com/kubearmor/KubeArmor/issues?q=is%3Aissue%20is%3Aopen%20label%3A%22good%20first%20issue%22%20no%3Aassignee" TargetMode="External"/><Relationship Id="rId172" Type="http://schemas.openxmlformats.org/officeDocument/2006/relationships/hyperlink" Target="https://github.com/kubearmor/KubeArmor/blob/main/CONTRIBUTING.md" TargetMode="External"/><Relationship Id="rId173" Type="http://schemas.openxmlformats.org/officeDocument/2006/relationships/hyperlink" Target="https://github.com/Kuadrant/kuadrant-operator" TargetMode="External"/><Relationship Id="rId174" Type="http://schemas.openxmlformats.org/officeDocument/2006/relationships/hyperlink" Target="https://github.com/Kuadrant/kuadrant-operator/issues?q=is%3Aissue%20is%3Aopen%20label%3A%22good%20first%20issue%22%20no%3Aassignee" TargetMode="External"/><Relationship Id="rId175" Type="http://schemas.openxmlformats.org/officeDocument/2006/relationships/hyperlink" Target="https://github.com/Kuadrant/kuadrant-operator" TargetMode="External"/><Relationship Id="rId176" Type="http://schemas.openxmlformats.org/officeDocument/2006/relationships/hyperlink" Target="https://github.com/Kuadrant/kuadrant-operator/blob/main/AGENTS.md" TargetMode="External"/><Relationship Id="rId177" Type="http://schemas.openxmlformats.org/officeDocument/2006/relationships/hyperlink" Target="https://github.com/microcks/microcks" TargetMode="External"/><Relationship Id="rId178" Type="http://schemas.openxmlformats.org/officeDocument/2006/relationships/hyperlink" Target="https://github.com/microcks/microcks/issues?q=is%3Aissue%20is%3Aopen%20label%3A%22good%20first%20issue%22%20no%3Aassignee" TargetMode="External"/><Relationship Id="rId179" Type="http://schemas.openxmlformats.org/officeDocument/2006/relationships/hyperlink" Target="https://github.com/microcks/microcks/blob/master/CONTRIBUTING.md" TargetMode="External"/><Relationship Id="rId180" Type="http://schemas.openxmlformats.org/officeDocument/2006/relationships/hyperlink" Target="https://github.com/microcks/microcks/blob/master/AGENTS.md" TargetMode="External"/><Relationship Id="rId181" Type="http://schemas.openxmlformats.org/officeDocument/2006/relationships/hyperlink" Target="https://github.com/Apicurio/apicurio-registry" TargetMode="External"/><Relationship Id="rId182" Type="http://schemas.openxmlformats.org/officeDocument/2006/relationships/hyperlink" Target="https://github.com/Apicurio/apicurio-registry/issues?q=is%3Aissue%20is%3Aopen%20label%3A%22good%20first%20issue%22%20no%3Aassignee" TargetMode="External"/><Relationship Id="rId183" Type="http://schemas.openxmlformats.org/officeDocument/2006/relationships/hyperlink" Target="https://github.com/Apicurio/apicurio-registry/blob/main/CONTRIBUTING.md" TargetMode="External"/><Relationship Id="rId184" Type="http://schemas.openxmlformats.org/officeDocument/2006/relationships/hyperlink" Target="https://github.com/Apicurio/apicurio-registry/blob/main/AGENTS.md" TargetMode="External"/><Relationship Id="rId185" Type="http://schemas.openxmlformats.org/officeDocument/2006/relationships/hyperlink" Target="https://github.com/krkn-chaos/krkn" TargetMode="External"/><Relationship Id="rId186" Type="http://schemas.openxmlformats.org/officeDocument/2006/relationships/hyperlink" Target="https://github.com/krkn-chaos/krkn/issues?q=is%3Aissue%20is%3Aopen%20label%3A%22good%20first%20issue%22%20no%3Aassignee" TargetMode="External"/><Relationship Id="rId187" Type="http://schemas.openxmlformats.org/officeDocument/2006/relationships/hyperlink" Target="https://github.com/krkn-chaos/krkn/blob/main/CONTRIBUTING.md" TargetMode="External"/><Relationship Id="rId188" Type="http://schemas.openxmlformats.org/officeDocument/2006/relationships/hyperlink" Target="https://github.com/jenkinsci/jenkins" TargetMode="External"/><Relationship Id="rId189" Type="http://schemas.openxmlformats.org/officeDocument/2006/relationships/hyperlink" Target="https://github.com/jenkinsci/jenkins/issues?q=is%3Aissue%20is%3Aopen%20label%3A%22good%20first%20issue%22%20no%3Aassignee" TargetMode="External"/><Relationship Id="rId190" Type="http://schemas.openxmlformats.org/officeDocument/2006/relationships/hyperlink" Target="https://github.com/jenkinsci/jenkins/blob/master/CONTRIBUTING.md" TargetMode="External"/><Relationship Id="rId191" Type="http://schemas.openxmlformats.org/officeDocument/2006/relationships/hyperlink" Target="https://github.com/laurent22/joplin" TargetMode="External"/><Relationship Id="rId192" Type="http://schemas.openxmlformats.org/officeDocument/2006/relationships/hyperlink" Target="https://github.com/laurent22/joplin/issues?q=is%3Aissue%20is%3Aopen%20label%3A%22good%20first%20issue%22%20no%3Aassignee" TargetMode="External"/><Relationship Id="rId193" Type="http://schemas.openxmlformats.org/officeDocument/2006/relationships/hyperlink" Target="https://github.com/laurent22/joplin/blob/dev/CONTRIBUTING" TargetMode="External"/><Relationship Id="rId194" Type="http://schemas.openxmlformats.org/officeDocument/2006/relationships/hyperlink" Target="https://github.com/webpack/webpack" TargetMode="External"/><Relationship Id="rId195" Type="http://schemas.openxmlformats.org/officeDocument/2006/relationships/hyperlink" Target="https://github.com/webpack/webpack/issues?q=is%3Aissue%20is%3Aopen%20label%3A%22good%20first%20issue%22%20no%3Aassignee" TargetMode="External"/><Relationship Id="rId196" Type="http://schemas.openxmlformats.org/officeDocument/2006/relationships/hyperlink" Target="https://github.com/webpack/webpack/blob/main/CONTRIBUTING.md" TargetMode="External"/><Relationship Id="rId197" Type="http://schemas.openxmlformats.org/officeDocument/2006/relationships/hyperlink" Target="https://github.com/webpack/webpack/blob/main/AGENTS.md" TargetMode="External"/><Relationship Id="rId198" Type="http://schemas.openxmlformats.org/officeDocument/2006/relationships/hyperlink" Target="https://github.com/google-gemini/gemini-cli" TargetMode="External"/><Relationship Id="rId199" Type="http://schemas.openxmlformats.org/officeDocument/2006/relationships/hyperlink" Target="https://github.com/google-gemini/gemini-cli/issues?q=is%3Aissue%20is%3Aopen%20label%3A%22good%20first%20issue%22%20no%3Aassignee" TargetMode="External"/><Relationship Id="rId200" Type="http://schemas.openxmlformats.org/officeDocument/2006/relationships/hyperlink" Target="https://github.com/google-gemini/gemini-cli/blob/main/CONTRIBUTING.md" TargetMode="External"/><Relationship Id="rId201" Type="http://schemas.openxmlformats.org/officeDocument/2006/relationships/hyperlink" Target="https://github.com/django/django" TargetMode="External"/><Relationship Id="rId202" Type="http://schemas.openxmlformats.org/officeDocument/2006/relationships/hyperlink" Target="https://code.djangoproject.com/query?status=!closed&amp;easy=1" TargetMode="External"/><Relationship Id="rId203" Type="http://schemas.openxmlformats.org/officeDocument/2006/relationships/hyperlink" Target="https://github.com/django/django/blob/main/CONTRIBUTING.rst" TargetMode="External"/><Relationship Id="rId204" Type="http://schemas.openxmlformats.org/officeDocument/2006/relationships/hyperlink" Target="https://github.com/checkstyle/checkstyle" TargetMode="External"/><Relationship Id="rId205" Type="http://schemas.openxmlformats.org/officeDocument/2006/relationships/hyperlink" Target="https://github.com/checkstyle/checkstyle/issues?q=is%3Aissue%20is%3Aopen%20label%3A%22good%20first%20issue%22%20no%3Aassignee" TargetMode="External"/><Relationship Id="rId206" Type="http://schemas.openxmlformats.org/officeDocument/2006/relationships/hyperlink" Target="https://github.com/checkstyle/checkstyle/blob/master/.github/CONTRIBUTING.md" TargetMode="External"/><Relationship Id="rId207" Type="http://schemas.openxmlformats.org/officeDocument/2006/relationships/hyperlink" Target="https://github.com/cBioPortal/cbioportal-frontend" TargetMode="External"/><Relationship Id="rId208" Type="http://schemas.openxmlformats.org/officeDocument/2006/relationships/hyperlink" Target="https://github.com/cBioPortal/cbioportal-frontend/issues?q=is%3Aissue%20is%3Aopen%20label%3A%22good%20first%20issue%22%20no%3Aassignee" TargetMode="External"/><Relationship Id="rId209" Type="http://schemas.openxmlformats.org/officeDocument/2006/relationships/hyperlink" Target="https://github.com/cBioPortal/cbioportal-frontend/blob/master/CONTRIBUTING.md" TargetMode="External"/><Relationship Id="rId210" Type="http://schemas.openxmlformats.org/officeDocument/2006/relationships/hyperlink" Target="https://github.com/cBioPortal/cbioportal-frontend/blob/master/AGENTS.md" TargetMode="External"/><Relationship Id="rId211" Type="http://schemas.openxmlformats.org/officeDocument/2006/relationships/hyperlink" Target="https://github.com/openwisp/openwisp-controller" TargetMode="External"/><Relationship Id="rId212" Type="http://schemas.openxmlformats.org/officeDocument/2006/relationships/hyperlink" Target="https://github.com/openwisp/openwisp-controller/issues?q=is%3Aissue%20is%3Aopen%20label%3A%22good%20first%20issue%22%20no%3Aassignee" TargetMode="External"/><Relationship Id="rId213" Type="http://schemas.openxmlformats.org/officeDocument/2006/relationships/hyperlink" Target="https://github.com/openwisp/openwisp-controller/blob/master/CONTRIBUTING.rst" TargetMode="External"/><Relationship Id="rId214" Type="http://schemas.openxmlformats.org/officeDocument/2006/relationships/hyperlink" Target="https://github.com/openwisp/openwisp-controller/blob/master/AGENTS.md" TargetMode="External"/><Relationship Id="rId215" Type="http://schemas.openxmlformats.org/officeDocument/2006/relationships/hyperlink" Target="https://github.com/neuroinformatics-unit/movement" TargetMode="External"/><Relationship Id="rId216" Type="http://schemas.openxmlformats.org/officeDocument/2006/relationships/hyperlink" Target="https://github.com/neuroinformatics-unit/movement/issues?q=is%3Aissue%20is%3Aopen%20label%3A%22good%20first%20issue%22%20no%3Aassignee" TargetMode="External"/><Relationship Id="rId217" Type="http://schemas.openxmlformats.org/officeDocument/2006/relationships/hyperlink" Target="https://github.com/neuroinformatics-unit/movement/blob/main/CONTRIBUTING.md" TargetMode="External"/><Relationship Id="rId218" Type="http://schemas.openxmlformats.org/officeDocument/2006/relationships/hyperlink" Target="https://github.com/kornia/kornia" TargetMode="External"/><Relationship Id="rId219" Type="http://schemas.openxmlformats.org/officeDocument/2006/relationships/hyperlink" Target="https://github.com/kornia/kornia/issues?q=is%3Aissue%20is%3Aopen%20label%3A%22good%20first%20issue%22%20no%3Aassignee" TargetMode="External"/><Relationship Id="rId220" Type="http://schemas.openxmlformats.org/officeDocument/2006/relationships/hyperlink" Target="https://github.com/kornia/kornia/blob/main/CONTRIBUTING.md" TargetMode="External"/><Relationship Id="rId221" Type="http://schemas.openxmlformats.org/officeDocument/2006/relationships/hyperlink" Target="https://github.com/kornia/kornia/blob/main/AGENTS.md" TargetMode="External"/><Relationship Id="rId222" Type="http://schemas.openxmlformats.org/officeDocument/2006/relationships/hyperlink" Target="https://github.com/openvinotoolkit/openvino" TargetMode="External"/><Relationship Id="rId223" Type="http://schemas.openxmlformats.org/officeDocument/2006/relationships/hyperlink" Target="https://github.com/openvinotoolkit/openvino/issues?q=is%3Aissue%20is%3Aopen%20label%3A%22good%20first%20issue%22%20no%3Aassignee" TargetMode="External"/><Relationship Id="rId224" Type="http://schemas.openxmlformats.org/officeDocument/2006/relationships/hyperlink" Target="https://github.com/openvinotoolkit/openvino/blob/master/CONTRIBUTING.md" TargetMode="External"/><Relationship Id="rId225" Type="http://schemas.openxmlformats.org/officeDocument/2006/relationships/hyperlink" Target="https://github.com/openvinotoolkit/openvino/blob/master/AI_USAGE_POLICY.md" TargetMode="External"/><Relationship Id="rId226" Type="http://schemas.openxmlformats.org/officeDocument/2006/relationships/hyperlink" Target="https://github.com/apache/airflow" TargetMode="External"/><Relationship Id="rId227" Type="http://schemas.openxmlformats.org/officeDocument/2006/relationships/hyperlink" Target="https://github.com/apache/airflow/issues?q=is%3Aissue%20is%3Aopen%20label%3A%22good%20first%20issue%22%20no%3Aassignee" TargetMode="External"/><Relationship Id="rId228" Type="http://schemas.openxmlformats.org/officeDocument/2006/relationships/hyperlink" Target="https://github.com/apache/airflow/blob/main/CONTRIBUTING.rst" TargetMode="External"/><Relationship Id="rId229" Type="http://schemas.openxmlformats.org/officeDocument/2006/relationships/hyperlink" Target="https://github.com/apache/airflow/blob/main/AGENTS.md" TargetMode="External"/><Relationship Id="rId230" Type="http://schemas.openxmlformats.org/officeDocument/2006/relationships/hyperlink" Target="https://github.com/rapid7/metasploit-framework" TargetMode="External"/><Relationship Id="rId231" Type="http://schemas.openxmlformats.org/officeDocument/2006/relationships/hyperlink" Target="https://github.com/rapid7/metasploit-framework/issues?q=is%3Aissue%20is%3Aopen%20label%3A%22good%20first%20issue%22%20no%3Aassignee" TargetMode="External"/><Relationship Id="rId232" Type="http://schemas.openxmlformats.org/officeDocument/2006/relationships/hyperlink" Target="https://github.com/rapid7/metasploit-framework/blob/master/CONTRIBUTING.md" TargetMode="External"/><Relationship Id="rId233" Type="http://schemas.openxmlformats.org/officeDocument/2006/relationships/hyperlink" Target="https://github.com/rapid7/metasploit-framework/blob/master/AGENTS.md" TargetMode="External"/><Relationship Id="rId234" Type="http://schemas.openxmlformats.org/officeDocument/2006/relationships/hyperlink" Target="https://github.com/aboutcode-org/scancode-toolkit" TargetMode="External"/><Relationship Id="rId235" Type="http://schemas.openxmlformats.org/officeDocument/2006/relationships/hyperlink" Target="https://github.com/aboutcode-org/scancode-toolkit/issues?q=is%3Aissue%20is%3Aopen%20label%3A%22good%20first%20issue%22%20no%3Aassignee" TargetMode="External"/><Relationship Id="rId236" Type="http://schemas.openxmlformats.org/officeDocument/2006/relationships/hyperlink" Target="https://github.com/aboutcode-org/scancode-toolkit/blob/develop/CONTRIBUTING.rst" TargetMode="External"/><Relationship Id="rId237" Type="http://schemas.openxmlformats.org/officeDocument/2006/relationships/hyperlink" Target="https://github.com/GraphiteEditor/Graphite" TargetMode="External"/><Relationship Id="rId238" Type="http://schemas.openxmlformats.org/officeDocument/2006/relationships/hyperlink" Target="https://github.com/GraphiteEditor/Graphite/issues?q=is%3Aissue%20is%3Aopen%20label%3A%22good%20first%20issue%22%20no%3Aassignee" TargetMode="External"/><Relationship Id="rId239" Type="http://schemas.openxmlformats.org/officeDocument/2006/relationships/hyperlink" Target="https://github.com/GraphiteEditor/Graphite" TargetMode="External"/><Relationship Id="rId240" Type="http://schemas.openxmlformats.org/officeDocument/2006/relationships/hyperlink" Target="https://github.com/KDE/kdenlive" TargetMode="External"/><Relationship Id="rId241" Type="http://schemas.openxmlformats.org/officeDocument/2006/relationships/hyperlink" Target="https://invent.kde.org/multimedia/kdenlive/-/issues" TargetMode="External"/><Relationship Id="rId242" Type="http://schemas.openxmlformats.org/officeDocument/2006/relationships/hyperlink" Target="https://github.com/KDE/kdenlive" TargetMode="External"/><Relationship Id="rId243" Type="http://schemas.openxmlformats.org/officeDocument/2006/relationships/hyperlink" Target="https://github.com/pgadmin-org/pgadmin4" TargetMode="External"/><Relationship Id="rId244" Type="http://schemas.openxmlformats.org/officeDocument/2006/relationships/hyperlink" Target="https://github.com/pgadmin-org/pgadmin4/issues?q=is%3Aissue%20is%3Aopen%20label%3A%22good%20first%20issue%22%20no%3Aassignee" TargetMode="External"/><Relationship Id="rId245" Type="http://schemas.openxmlformats.org/officeDocument/2006/relationships/hyperlink" Target="https://github.com/pgadmin-org/pgadmin4/blob/master/CONTRIBUTING.md" TargetMode="External"/><Relationship Id="rId246" Type="http://schemas.openxmlformats.org/officeDocument/2006/relationships/hyperlink" Target="https://github.com/sunpy/sunpy" TargetMode="External"/><Relationship Id="rId247" Type="http://schemas.openxmlformats.org/officeDocument/2006/relationships/hyperlink" Target="https://github.com/sunpy/sunpy/issues?q=is%3Aissue%20is%3Aopen%20label%3A%22good%20first%20issue%22%20no%3Aassignee" TargetMode="External"/><Relationship Id="rId248" Type="http://schemas.openxmlformats.org/officeDocument/2006/relationships/hyperlink" Target="https://github.com/sunpy/sunpy" TargetMode="External"/><Relationship Id="rId249" Type="http://schemas.openxmlformats.org/officeDocument/2006/relationships/hyperlink" Target="https://github.com/wikimedia/mediawiki" TargetMode="External"/><Relationship Id="rId250" Type="http://schemas.openxmlformats.org/officeDocument/2006/relationships/hyperlink" Target="https://phabricator.wikimedia.org/tag/good_first_task/" TargetMode="External"/><Relationship Id="rId251" Type="http://schemas.openxmlformats.org/officeDocument/2006/relationships/hyperlink" Target="https://github.com/wikimedia/mediawiki" TargetMode="External"/><Relationship Id="rId252" Type="http://schemas.openxmlformats.org/officeDocument/2006/relationships/hyperlink" Target="https://github.com/openfoodfacts/smooth-app" TargetMode="External"/><Relationship Id="rId253" Type="http://schemas.openxmlformats.org/officeDocument/2006/relationships/hyperlink" Target="https://github.com/openfoodfacts/smooth-app/issues?q=is%3Aissue%20is%3Aopen%20label%3A%22good%20first%20issue%22%20no%3Aassignee" TargetMode="External"/><Relationship Id="rId254" Type="http://schemas.openxmlformats.org/officeDocument/2006/relationships/hyperlink" Target="https://github.com/openfoodfacts/smooth-app/blob/develop/CONTRIBUTING.md" TargetMode="External"/><Relationship Id="rId255" Type="http://schemas.openxmlformats.org/officeDocument/2006/relationships/hyperlink" Target="https://github.com/openfoodfacts/smooth-app/blob/develop/AGENTS.md" TargetMode="External"/><Relationship Id="rId256" Type="http://schemas.openxmlformats.org/officeDocument/2006/relationships/hyperlink" Target="https://github.com/kubernetes/kubernetes" TargetMode="External"/><Relationship Id="rId257" Type="http://schemas.openxmlformats.org/officeDocument/2006/relationships/hyperlink" Target="https://github.com/kubernetes/kubernetes/issues?q=is%3Aissue%20is%3Aopen%20label%3A%22good%20first%20issue%22%20no%3Aassignee" TargetMode="External"/><Relationship Id="rId258" Type="http://schemas.openxmlformats.org/officeDocument/2006/relationships/hyperlink" Target="https://github.com/kubernetes/kubernetes/blob/master/CONTRIBUTING.md" TargetMode="External"/><Relationship Id="rId259" Type="http://schemas.openxmlformats.org/officeDocument/2006/relationships/hyperlink" Target="https://github.com/kubernetes/kubernetes/blob/master/AGENTS.md" TargetMode="External"/><Relationship Id="rId260" Type="http://schemas.openxmlformats.org/officeDocument/2006/relationships/hyperlink" Target="https://github.com/prometheus/prometheus" TargetMode="External"/><Relationship Id="rId261" Type="http://schemas.openxmlformats.org/officeDocument/2006/relationships/hyperlink" Target="https://github.com/prometheus/prometheus/issues?q=is%3Aissue%20is%3Aopen%20label%3A%22good%20first%20issue%22%20no%3Aassignee" TargetMode="External"/><Relationship Id="rId262" Type="http://schemas.openxmlformats.org/officeDocument/2006/relationships/hyperlink" Target="https://github.com/prometheus/prometheus/blob/main/CONTRIBUTING.md" TargetMode="External"/><Relationship Id="rId263" Type="http://schemas.openxmlformats.org/officeDocument/2006/relationships/hyperlink" Target="https://github.com/prometheus/prometheus/blob/main/AGENTS.md" TargetMode="External"/><Relationship Id="rId264" Type="http://schemas.openxmlformats.org/officeDocument/2006/relationships/hyperlink" Target="https://github.com/cilium/cilium" TargetMode="External"/><Relationship Id="rId265" Type="http://schemas.openxmlformats.org/officeDocument/2006/relationships/hyperlink" Target="https://github.com/cilium/cilium/issues?q=is%3Aissue%20is%3Aopen%20label%3A%22good%20first%20issue%22%20no%3Aassignee" TargetMode="External"/><Relationship Id="rId266" Type="http://schemas.openxmlformats.org/officeDocument/2006/relationships/hyperlink" Target="https://github.com/cilium/cilium/blob/main/CONTRIBUTING.md" TargetMode="External"/><Relationship Id="rId267" Type="http://schemas.openxmlformats.org/officeDocument/2006/relationships/hyperlink" Target="https://github.com/etcd-io/etcd" TargetMode="External"/><Relationship Id="rId268" Type="http://schemas.openxmlformats.org/officeDocument/2006/relationships/hyperlink" Target="https://github.com/etcd-io/etcd/issues?q=is%3Aissue%20is%3Aopen%20label%3A%22good%20first%20issue%22%20no%3Aassignee" TargetMode="External"/><Relationship Id="rId269" Type="http://schemas.openxmlformats.org/officeDocument/2006/relationships/hyperlink" Target="https://github.com/etcd-io/etcd/blob/main/CONTRIBUTING.md" TargetMode="External"/><Relationship Id="rId270" Type="http://schemas.openxmlformats.org/officeDocument/2006/relationships/hyperlink" Target="https://github.com/WasmEdge/WasmEdge" TargetMode="External"/><Relationship Id="rId271" Type="http://schemas.openxmlformats.org/officeDocument/2006/relationships/hyperlink" Target="https://github.com/WasmEdge/WasmEdge/issues?q=is%3Aissue%20is%3Aopen%20label%3A%22good%20first%20issue%22%20no%3Aassignee" TargetMode="External"/><Relationship Id="rId272" Type="http://schemas.openxmlformats.org/officeDocument/2006/relationships/hyperlink" Target="https://github.com/WasmEdge/WasmEdge" TargetMode="External"/><Relationship Id="rId273" Type="http://schemas.openxmlformats.org/officeDocument/2006/relationships/hyperlink" Target="https://github.com/WasmEdge/WasmEdge/blob/master/AGENTS.md" TargetMode="External"/><Relationship Id="rId274" Type="http://schemas.openxmlformats.org/officeDocument/2006/relationships/hyperlink" Target="https://github.com/containers/podman" TargetMode="External"/><Relationship Id="rId275" Type="http://schemas.openxmlformats.org/officeDocument/2006/relationships/hyperlink" Target="https://github.com/containers/podman/issues?q=is%3Aissue%20is%3Aopen%20label%3A%22good%20first%20issue%22%20no%3Aassignee" TargetMode="External"/><Relationship Id="rId276" Type="http://schemas.openxmlformats.org/officeDocument/2006/relationships/hyperlink" Target="https://github.com/containers/podman/blob/main/CONTRIBUTING.md" TargetMode="External"/><Relationship Id="rId277" Type="http://schemas.openxmlformats.org/officeDocument/2006/relationships/hyperlink" Target="https://github.com/containers/podman/blob/main/AGENTS.md" TargetMode="External"/><Relationship Id="rId278" Type="http://schemas.openxmlformats.org/officeDocument/2006/relationships/hyperlink" Target="https://github.com/kubevirt/kubevirt" TargetMode="External"/><Relationship Id="rId279" Type="http://schemas.openxmlformats.org/officeDocument/2006/relationships/hyperlink" Target="https://github.com/kubevirt/kubevirt/issues?q=is%3Aissue%20is%3Aopen%20label%3A%22good%20first%20issue%22%20no%3Aassignee" TargetMode="External"/><Relationship Id="rId280" Type="http://schemas.openxmlformats.org/officeDocument/2006/relationships/hyperlink" Target="https://github.com/kubevirt/kubevirt/blob/main/CONTRIBUTING.md" TargetMode="External"/><Relationship Id="rId281" Type="http://schemas.openxmlformats.org/officeDocument/2006/relationships/hyperlink" Target="https://github.com/torvalds/linux" TargetMode="External"/><Relationship Id="rId282" Type="http://schemas.openxmlformats.org/officeDocument/2006/relationships/hyperlink" Target="https://www.kernel.org/doc/html/latest/process/submitting-patches.html" TargetMode="External"/><Relationship Id="rId283" Type="http://schemas.openxmlformats.org/officeDocument/2006/relationships/hyperlink" Target="https://github.com/torvalds/linux" TargetMode="External"/><Relationship Id="rId284" Type="http://schemas.openxmlformats.org/officeDocument/2006/relationships/hyperlink" Target="https://github.com/llvm/llvm-project" TargetMode="External"/><Relationship Id="rId285" Type="http://schemas.openxmlformats.org/officeDocument/2006/relationships/hyperlink" Target="https://github.com/llvm/llvm-project/issues?q=is%3Aissue%20is%3Aopen%20label%3A%22good%20first%20issue%22%20no%3Aassignee" TargetMode="External"/><Relationship Id="rId286" Type="http://schemas.openxmlformats.org/officeDocument/2006/relationships/hyperlink" Target="https://github.com/llvm/llvm-project/blob/main/CONTRIBUTING.md" TargetMode="External"/><Relationship Id="rId287" Type="http://schemas.openxmlformats.org/officeDocument/2006/relationships/hyperlink" Target="https://github.com/gcc-mirror/gcc" TargetMode="External"/><Relationship Id="rId288" Type="http://schemas.openxmlformats.org/officeDocument/2006/relationships/hyperlink" Target="https://gcc.gnu.org/contribute.html" TargetMode="External"/><Relationship Id="rId289" Type="http://schemas.openxmlformats.org/officeDocument/2006/relationships/hyperlink" Target="https://github.com/gcc-mirror/gcc/blob/master/.github/CONTRIBUTING.md" TargetMode="External"/><Relationship Id="rId290" Type="http://schemas.openxmlformats.org/officeDocument/2006/relationships/hyperlink" Target="https://github.com/FFmpeg/FFmpeg" TargetMode="External"/><Relationship Id="rId291" Type="http://schemas.openxmlformats.org/officeDocument/2006/relationships/hyperlink" Target="https://trac.ffmpeg.org/" TargetMode="External"/><Relationship Id="rId292" Type="http://schemas.openxmlformats.org/officeDocument/2006/relationships/hyperlink" Target="https://github.com/FFmpeg/FFmpeg/blob/master/CONTRIBUTING.md" TargetMode="External"/><Relationship Id="rId293" Type="http://schemas.openxmlformats.org/officeDocument/2006/relationships/hyperlink" Target="https://github.com/qemu/qemu" TargetMode="External"/><Relationship Id="rId294" Type="http://schemas.openxmlformats.org/officeDocument/2006/relationships/hyperlink" Target="https://gitlab.com/qemu-project/qemu/-/issues" TargetMode="External"/><Relationship Id="rId295" Type="http://schemas.openxmlformats.org/officeDocument/2006/relationships/hyperlink" Target="https://github.com/qemu/qemu" TargetMode="External"/><Relationship Id="rId296" Type="http://schemas.openxmlformats.org/officeDocument/2006/relationships/hyperlink" Target="https://github.com/qemu/qemu/blob/master/AGENTS.md" TargetMode="External"/><Relationship Id="rId297" Type="http://schemas.openxmlformats.org/officeDocument/2006/relationships/hyperlink" Target="https://github.com/git/git" TargetMode="External"/><Relationship Id="rId298" Type="http://schemas.openxmlformats.org/officeDocument/2006/relationships/hyperlink" Target="https://git.github.io/General-Microproject-Information/" TargetMode="External"/><Relationship Id="rId299" Type="http://schemas.openxmlformats.org/officeDocument/2006/relationships/hyperlink" Target="https://github.com/git/git/blob/master/.github/CONTRIBUTING.md" TargetMode="External"/><Relationship Id="rId300" Type="http://schemas.openxmlformats.org/officeDocument/2006/relationships/hyperlink" Target="https://github.com/rust-lang/rust" TargetMode="External"/><Relationship Id="rId301" Type="http://schemas.openxmlformats.org/officeDocument/2006/relationships/hyperlink" Target="https://github.com/rust-lang/rust/issues?q=is%3Aissue+is%3Aopen+label%3AE-easy" TargetMode="External"/><Relationship Id="rId302" Type="http://schemas.openxmlformats.org/officeDocument/2006/relationships/hyperlink" Target="https://github.com/rust-lang/rust/blob/main/CONTRIBUTING.md" TargetMode="External"/><Relationship Id="rId303" Type="http://schemas.openxmlformats.org/officeDocument/2006/relationships/hyperlink" Target="https://github.com/rust-lang/rust/blob/main/AGENTS.md" TargetMode="External"/><Relationship Id="rId304" Type="http://schemas.openxmlformats.org/officeDocument/2006/relationships/hyperlink" Target="https://github.com/blender/blender" TargetMode="External"/><Relationship Id="rId305" Type="http://schemas.openxmlformats.org/officeDocument/2006/relationships/hyperlink" Target="https://projects.blender.org/blender/blender/issues" TargetMode="External"/><Relationship Id="rId306" Type="http://schemas.openxmlformats.org/officeDocument/2006/relationships/hyperlink" Target="https://github.com/blender/blender" TargetMode="External"/><Relationship Id="rId307" Type="http://schemas.openxmlformats.org/officeDocument/2006/relationships/hyperlink" Target="https://github.com/LibreOffice/core" TargetMode="External"/><Relationship Id="rId308" Type="http://schemas.openxmlformats.org/officeDocument/2006/relationships/hyperlink" Target="https://wiki.documentfoundation.org/Development/EasyHacks" TargetMode="External"/><Relationship Id="rId309" Type="http://schemas.openxmlformats.org/officeDocument/2006/relationships/hyperlink" Target="https://github.com/LibreOffice/core" TargetMode="External"/><Relationship Id="rId310" Type="http://schemas.openxmlformats.org/officeDocument/2006/relationships/hyperlink" Target="https://github.com/JuliaLang/julia" TargetMode="External"/><Relationship Id="rId311" Type="http://schemas.openxmlformats.org/officeDocument/2006/relationships/hyperlink" Target="https://github.com/JuliaLang/julia/issues?q=is%3Aissue%20is%3Aopen%20label%3A%22good%20first%20issue%22%20no%3Aassignee" TargetMode="External"/><Relationship Id="rId312" Type="http://schemas.openxmlformats.org/officeDocument/2006/relationships/hyperlink" Target="https://github.com/JuliaLang/julia/blob/master/CONTRIBUTING.md" TargetMode="External"/><Relationship Id="rId313" Type="http://schemas.openxmlformats.org/officeDocument/2006/relationships/hyperlink" Target="https://github.com/JuliaLang/julia/blob/master/AGENTS.md" TargetMode="External"/><Relationship Id="rId314" Type="http://schemas.openxmlformats.org/officeDocument/2006/relationships/hyperlink" Target="https://github.com/root-project/root" TargetMode="External"/><Relationship Id="rId315" Type="http://schemas.openxmlformats.org/officeDocument/2006/relationships/hyperlink" Target="https://github.com/root-project/root/issues?q=is%3Aissue%20is%3Aopen%20label%3A%22good%20first%20issue%22%20no%3Aassignee" TargetMode="External"/><Relationship Id="rId316" Type="http://schemas.openxmlformats.org/officeDocument/2006/relationships/hyperlink" Target="https://github.com/root-project/root/blob/master/CONTRIBUTING.md" TargetMode="External"/><Relationship Id="rId317" Type="http://schemas.openxmlformats.org/officeDocument/2006/relationships/hyperlink" Target="https://github.com/root-project/root/blob/master/AGENTS.md" TargetMode="External"/><Relationship Id="rId318" Type="http://schemas.openxmlformats.org/officeDocument/2006/relationships/hyperlink" Target="https://github.com/ArduPilot/ardupilot" TargetMode="External"/><Relationship Id="rId319" Type="http://schemas.openxmlformats.org/officeDocument/2006/relationships/hyperlink" Target="https://github.com/ArduPilot/ardupilot/issues?q=is%3Aissue%20is%3Aopen%20label%3A%22good%20first%20issue%22%20no%3Aassignee" TargetMode="External"/><Relationship Id="rId320" Type="http://schemas.openxmlformats.org/officeDocument/2006/relationships/hyperlink" Target="https://github.com/ArduPilot/ardupilot/blob/master/.github/CONTRIBUTING.md" TargetMode="External"/><Relationship Id="rId321" Type="http://schemas.openxmlformats.org/officeDocument/2006/relationships/hyperlink" Target="https://github.com/ArduPilot/ardupilot/blob/master/AGENTS.md" TargetMode="External"/><Relationship Id="rId322" Type="http://schemas.openxmlformats.org/officeDocument/2006/relationships/hyperlink" Target="https://github.com/FreeCAD/FreeCAD" TargetMode="External"/><Relationship Id="rId323" Type="http://schemas.openxmlformats.org/officeDocument/2006/relationships/hyperlink" Target="https://github.com/FreeCAD/FreeCAD/issues?q=is%3Aissue%20is%3Aopen%20label%3A%22good%20first%20issue%22%20no%3Aassignee" TargetMode="External"/><Relationship Id="rId324" Type="http://schemas.openxmlformats.org/officeDocument/2006/relationships/hyperlink" Target="https://github.com/FreeCAD/FreeCAD/blob/main/CONTRIBUTING.md" TargetMode="External"/><Relationship Id="rId325" Type="http://schemas.openxmlformats.org/officeDocument/2006/relationships/hyperlink" Target="https://github.com/FreeCAD/FreeCAD/blob/main/AI_POLICY.md" TargetMode="External"/><Relationship Id="rId326" Type="http://schemas.openxmlformats.org/officeDocument/2006/relationships/hyperlink" Target="https://github.com/neovim/neovim" TargetMode="External"/><Relationship Id="rId327" Type="http://schemas.openxmlformats.org/officeDocument/2006/relationships/hyperlink" Target="https://github.com/neovim/neovim/issues?q=is%3Aissue%20is%3Aopen%20label%3A%22good%20first%20issue%22%20no%3Aassignee" TargetMode="External"/><Relationship Id="rId328" Type="http://schemas.openxmlformats.org/officeDocument/2006/relationships/hyperlink" Target="https://github.com/neovim/neovim/blob/master/CONTRIBUTING.md" TargetMode="External"/><Relationship Id="rId329" Type="http://schemas.openxmlformats.org/officeDocument/2006/relationships/hyperlink" Target="https://github.com/neovim/neovim/blob/master/AGENTS.md" TargetMode="External"/><Relationship Id="rId330" Type="http://schemas.openxmlformats.org/officeDocument/2006/relationships/hyperlink" Target="https://github.com/ceph/ceph" TargetMode="External"/><Relationship Id="rId331" Type="http://schemas.openxmlformats.org/officeDocument/2006/relationships/hyperlink" Target="https://github.com/ceph/ceph/issues?q=is%3Aissue%20is%3Aopen%20label%3A%22good%20first%20issue%22%20no%3Aassignee" TargetMode="External"/><Relationship Id="rId332" Type="http://schemas.openxmlformats.org/officeDocument/2006/relationships/hyperlink" Target="https://github.com/ceph/ceph/blob/main/CONTRIBUTING.rst" TargetMode="External"/><Relationship Id="rId333" Type="http://schemas.openxmlformats.org/officeDocument/2006/relationships/hyperlink" Target="https://github.com/gazebosim/gz-sim" TargetMode="External"/><Relationship Id="rId334" Type="http://schemas.openxmlformats.org/officeDocument/2006/relationships/hyperlink" Target="https://github.com/gazebosim/gz-sim/issues?q=is%3Aissue%20is%3Aopen%20label%3A%22good%20first%20issue%22%20no%3Aassignee" TargetMode="External"/><Relationship Id="rId335" Type="http://schemas.openxmlformats.org/officeDocument/2006/relationships/hyperlink" Target="https://github.com/gazebosim/gz-sim/blob/main/CONTRIBUTING.md" TargetMode="External"/><Relationship Id="rId336" Type="http://schemas.openxmlformats.org/officeDocument/2006/relationships/hyperlink" Target="https://github.com/sagemath/sage" TargetMode="External"/><Relationship Id="rId337" Type="http://schemas.openxmlformats.org/officeDocument/2006/relationships/hyperlink" Target="https://github.com/sagemath/sage/issues?q=is%3Aissue%20is%3Aopen%20label%3A%22good%20first%20issue%22%20no%3Aassignee" TargetMode="External"/><Relationship Id="rId338" Type="http://schemas.openxmlformats.org/officeDocument/2006/relationships/hyperlink" Target="https://github.com/sagemath/sage/blob/develop/CONTRIBUTING.md" TargetMode="External"/><Relationship Id="rId339" Type="http://schemas.openxmlformats.org/officeDocument/2006/relationships/hyperlink" Target="https://github.com/mixxxdj/mixxx" TargetMode="External"/><Relationship Id="rId340" Type="http://schemas.openxmlformats.org/officeDocument/2006/relationships/hyperlink" Target="https://github.com/mixxxdj/mixxx/issues?q=is%3Aissue%20is%3Aopen%20label%3A%22good%20first%20issue%22%20no%3Aassignee" TargetMode="External"/><Relationship Id="rId341" Type="http://schemas.openxmlformats.org/officeDocument/2006/relationships/hyperlink" Target="https://github.com/mixxxdj/mixxx/blob/main/CONTRIBUTING.md" TargetMode="External"/><Relationship Id="rId342" Type="http://schemas.openxmlformats.org/officeDocument/2006/relationships/hyperlink" Target="https://github.com/mixxxdj/mixxx/blob/main/AGENTS.md" TargetMode="External"/><Relationship Id="rId343" Type="http://schemas.openxmlformats.org/officeDocument/2006/relationships/hyperlink" Target="https://github.com/dora-rs/dora" TargetMode="External"/><Relationship Id="rId344" Type="http://schemas.openxmlformats.org/officeDocument/2006/relationships/hyperlink" Target="https://github.com/dora-rs/dora/issues?q=is%3Aissue%20is%3Aopen%20label%3A%22good%20first%20issue%22%20no%3Aassignee" TargetMode="External"/><Relationship Id="rId345" Type="http://schemas.openxmlformats.org/officeDocument/2006/relationships/hyperlink" Target="https://github.com/dora-rs/dora/blob/main/CONTRIBUTING.md" TargetMode="External"/><Relationship Id="rId346" Type="http://schemas.openxmlformats.org/officeDocument/2006/relationships/hyperlink" Target="https://github.com/dora-rs/dora/blob/main/AGENTS.md" TargetMode="External"/><Relationship Id="rId347" Type="http://schemas.openxmlformats.org/officeDocument/2006/relationships/hyperlink" Target="https://github.com/swiftlang/swift" TargetMode="External"/><Relationship Id="rId348" Type="http://schemas.openxmlformats.org/officeDocument/2006/relationships/hyperlink" Target="https://github.com/swiftlang/swift/issues?q=is%3Aissue%20is%3Aopen%20label%3A%22good%20first%20issue%22%20no%3Aassignee" TargetMode="External"/><Relationship Id="rId349" Type="http://schemas.openxmlformats.org/officeDocument/2006/relationships/hyperlink" Target="https://github.com/swiftlang/swift/blob/main/CONTRIBUTING.md" TargetMode="External"/><Relationship Id="rId350" Type="http://schemas.openxmlformats.org/officeDocument/2006/relationships/hyperlink" Target="https://github.com/hyperledger/fabric" TargetMode="External"/><Relationship Id="rId351" Type="http://schemas.openxmlformats.org/officeDocument/2006/relationships/hyperlink" Target="https://github.com/hyperledger/fabric/issues?q=is%3Aissue%20is%3Aopen%20label%3A%22good%20first%20issue%22%20no%3Aassignee" TargetMode="External"/><Relationship Id="rId352" Type="http://schemas.openxmlformats.org/officeDocument/2006/relationships/hyperlink" Target="https://github.com/hyperledger/fabric/blob/main/CONTRIBUTING.md" TargetMode="External"/><Relationship Id="rId353" Type="http://schemas.openxmlformats.org/officeDocument/2006/relationships/drawing" Target="../drawings/drawing1.xml"/><Relationship Id="rId35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ummerofcode.withgoogle.com/" TargetMode="External"/><Relationship Id="rId2" Type="http://schemas.openxmlformats.org/officeDocument/2006/relationships/hyperlink" Target="https://mentorship.lfx.linuxfoundation.org/" TargetMode="External"/><Relationship Id="rId3" Type="http://schemas.openxmlformats.org/officeDocument/2006/relationships/hyperlink" Target="https://wiki.linuxfoundation.org/lkmp" TargetMode="External"/><Relationship Id="rId4" Type="http://schemas.openxmlformats.org/officeDocument/2006/relationships/hyperlink" Target="https://lf-decentralized-trust-mentorships.github.io/mentorship-program/main/" TargetMode="External"/><Relationship Id="rId5" Type="http://schemas.openxmlformats.org/officeDocument/2006/relationships/hyperlink" Target="https://openmainframeproject.org/projects/mentorship/" TargetMode="External"/><Relationship Id="rId6" Type="http://schemas.openxmlformats.org/officeDocument/2006/relationships/hyperlink" Target="https://lf-networking.atlassian.net/wiki/spaces/LN/pages/15646470/For+Applicants" TargetMode="External"/><Relationship Id="rId7" Type="http://schemas.openxmlformats.org/officeDocument/2006/relationships/hyperlink" Target="https://www.outreachy.org/" TargetMode="External"/><Relationship Id="rId8" Type="http://schemas.openxmlformats.org/officeDocument/2006/relationships/hyperlink" Target="https://fellowship.mlh.com/" TargetMode="External"/><Relationship Id="rId9" Type="http://schemas.openxmlformats.org/officeDocument/2006/relationships/hyperlink" Target="https://codeforgoodtech.in/" TargetMode="External"/><Relationship Id="rId10" Type="http://schemas.openxmlformats.org/officeDocument/2006/relationships/hyperlink" Target="https://www.summerofbitcoin.org/" TargetMode="External"/><Relationship Id="rId11" Type="http://schemas.openxmlformats.org/officeDocument/2006/relationships/hyperlink" Target="https://www.esoc.dev/" TargetMode="External"/><Relationship Id="rId12" Type="http://schemas.openxmlformats.org/officeDocument/2006/relationships/hyperlink" Target="https://summer-ospp.ac.cn/" TargetMode="External"/><Relationship Id="rId13" Type="http://schemas.openxmlformats.org/officeDocument/2006/relationships/hyperlink" Target="https://www.igalia.com/coding-experience/" TargetMode="External"/><Relationship Id="rId14" Type="http://schemas.openxmlformats.org/officeDocument/2006/relationships/hyperlink" Target="https://github.com/eth-protocol-fellows" TargetMode="External"/><Relationship Id="rId15" Type="http://schemas.openxmlformats.org/officeDocument/2006/relationships/hyperlink" Target="https://fossee.in/fellowship/2026" TargetMode="External"/><Relationship Id="rId16" Type="http://schemas.openxmlformats.org/officeDocument/2006/relationships/hyperlink" Target="https://mentorship.kde.org/sok/" TargetMode="External"/><Relationship Id="rId17" Type="http://schemas.openxmlformats.org/officeDocument/2006/relationships/hyperlink" Target="https://gssoc.girlscript.org/" TargetMode="External"/><Relationship Id="rId18" Type="http://schemas.openxmlformats.org/officeDocument/2006/relationships/hyperlink" Target="https://www.swoc.in/" TargetMode="External"/><Relationship Id="rId19" Type="http://schemas.openxmlformats.org/officeDocument/2006/relationships/hyperlink" Target="https://kwoc.kossiitkgp.org/" TargetMode="External"/><Relationship Id="rId20" Type="http://schemas.openxmlformats.org/officeDocument/2006/relationships/hyperlink" Target="https://hacktoberfest.com/" TargetMode="External"/><Relationship Id="rId21" Type="http://schemas.openxmlformats.org/officeDocument/2006/relationships/hyperlink" Target="https://24pullrequests.com/" TargetMode="External"/><Relationship Id="rId22" Type="http://schemas.openxmlformats.org/officeDocument/2006/relationships/hyperlink" Target="https://djangonaut.space/" TargetMode="External"/><Relationship Id="rId23" Type="http://schemas.openxmlformats.org/officeDocument/2006/relationships/hyperlink" Target="https://github.com/kubernetes/sig-release/blob/master/release-team/shadows.md" TargetMode="External"/><Relationship Id="rId24" Type="http://schemas.openxmlformats.org/officeDocument/2006/relationships/hyperlink" Target="https://www.swift.org/mentorship/" TargetMode="External"/><Relationship Id="rId25" Type="http://schemas.openxmlformats.org/officeDocument/2006/relationships/hyperlink" Target="https://kubestellar.io/en/programs/ifos" TargetMode="External"/><Relationship Id="rId26" Type="http://schemas.openxmlformats.org/officeDocument/2006/relationships/hyperlink" Target="https://julialang.org/jsoc/" TargetMode="External"/><Relationship Id="rId27" Type="http://schemas.openxmlformats.org/officeDocument/2006/relationships/hyperlink" Target="https://summer.haskell.org/" TargetMode="External"/><Relationship Id="rId28" Type="http://schemas.openxmlformats.org/officeDocument/2006/relationships/hyperlink" Target="https://github.com/sktime/mentoring" TargetMode="External"/><Relationship Id="rId29" Type="http://schemas.openxmlformats.org/officeDocument/2006/relationships/hyperlink" Target="https://processingfoundation.org/grants" TargetMode="External"/><Relationship Id="rId30" Type="http://schemas.openxmlformats.org/officeDocument/2006/relationships/hyperlink" Target="https://www.nsoc.in/" TargetMode="External"/><Relationship Id="rId31" Type="http://schemas.openxmlformats.org/officeDocument/2006/relationships/hyperlink" Target="https://apertre.resourcio.in/" TargetMode="External"/><Relationship Id="rId32" Type="http://schemas.openxmlformats.org/officeDocument/2006/relationships/hyperlink" Target="https://developers.google.com/season-of-docs" TargetMode="External"/><Relationship Id="rId33" Type="http://schemas.openxmlformats.org/officeDocument/2006/relationships/hyperlink" Target="https://www.x.org/wiki/XorgEVoC/" TargetMode="External"/><Relationship Id="rId34" Type="http://schemas.openxmlformats.org/officeDocument/2006/relationships/hyperlink" Target="https://codeheat.org/" TargetMode="External"/><Relationship Id="rId35" Type="http://schemas.openxmlformats.org/officeDocument/2006/relationships/hyperlink" Target="https://en.wikipedia.org/wiki/Google_Code-in" TargetMode="External"/><Relationship Id="rId36" Type="http://schemas.openxmlformats.org/officeDocument/2006/relationships/hyperlink" Target="https://www.fsf.org/volunteer/internships" TargetMode="External"/><Relationship Id="rId37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hacktoberfest.com/" TargetMode="External"/><Relationship Id="rId2" Type="http://schemas.openxmlformats.org/officeDocument/2006/relationships/hyperlink" Target="https://developers.google.com/community/devfest" TargetMode="External"/><Relationship Id="rId3" Type="http://schemas.openxmlformats.org/officeDocument/2006/relationships/hyperlink" Target="https://lpc.events/" TargetMode="External"/><Relationship Id="rId4" Type="http://schemas.openxmlformats.org/officeDocument/2006/relationships/hyperlink" Target="https://www.opensourceindia.in/" TargetMode="External"/><Relationship Id="rId5" Type="http://schemas.openxmlformats.org/officeDocument/2006/relationships/hyperlink" Target="https://events.linuxfoundation.org/open-source-summit-europe/" TargetMode="External"/><Relationship Id="rId6" Type="http://schemas.openxmlformats.org/officeDocument/2006/relationships/hyperlink" Target="https://ghw.mlh.com/" TargetMode="External"/><Relationship Id="rId7" Type="http://schemas.openxmlformats.org/officeDocument/2006/relationships/hyperlink" Target="https://gdg.community.dev/events/details/google-gdg-noida-presents-devfest-noida-2026/" TargetMode="External"/><Relationship Id="rId8" Type="http://schemas.openxmlformats.org/officeDocument/2006/relationships/hyperlink" Target="https://devfest.gdgchennai.in/" TargetMode="External"/><Relationship Id="rId9" Type="http://schemas.openxmlformats.org/officeDocument/2006/relationships/hyperlink" Target="https://scipy.in/2026/" TargetMode="External"/><Relationship Id="rId10" Type="http://schemas.openxmlformats.org/officeDocument/2006/relationships/hyperlink" Target="https://2026.allthingsopen.org/" TargetMode="External"/><Relationship Id="rId11" Type="http://schemas.openxmlformats.org/officeDocument/2006/relationships/hyperlink" Target="https://devfest.gdghyd.in/" TargetMode="External"/><Relationship Id="rId12" Type="http://schemas.openxmlformats.org/officeDocument/2006/relationships/hyperlink" Target="https://gdg.community.dev/events/details/google-gdg-baroda-presents-devfest-baroda-2026/" TargetMode="External"/><Relationship Id="rId13" Type="http://schemas.openxmlformats.org/officeDocument/2006/relationships/hyperlink" Target="https://githubuniverse.com/" TargetMode="External"/><Relationship Id="rId14" Type="http://schemas.openxmlformats.org/officeDocument/2006/relationships/hyperlink" Target="https://www.mozillafoundation.org/en/festival/" TargetMode="External"/><Relationship Id="rId15" Type="http://schemas.openxmlformats.org/officeDocument/2006/relationships/hyperlink" Target="https://www.reactindia.io/" TargetMode="External"/><Relationship Id="rId16" Type="http://schemas.openxmlformats.org/officeDocument/2006/relationships/hyperlink" Target="https://fossunited.org/c/mumbai" TargetMode="External"/><Relationship Id="rId17" Type="http://schemas.openxmlformats.org/officeDocument/2006/relationships/hyperlink" Target="https://fossunited.org/events/timeline" TargetMode="External"/><Relationship Id="rId18" Type="http://schemas.openxmlformats.org/officeDocument/2006/relationships/hyperlink" Target="https://devfest.gdggandhinagar.dev/" TargetMode="External"/><Relationship Id="rId19" Type="http://schemas.openxmlformats.org/officeDocument/2006/relationships/hyperlink" Target="https://ghw.mlh.com/" TargetMode="External"/><Relationship Id="rId20" Type="http://schemas.openxmlformats.org/officeDocument/2006/relationships/hyperlink" Target="https://events.linuxfoundation.org/kubecon-cloudnativecon-north-america/" TargetMode="External"/><Relationship Id="rId21" Type="http://schemas.openxmlformats.org/officeDocument/2006/relationships/hyperlink" Target="https://events.linuxfoundation.org/about/calendar/" TargetMode="External"/><Relationship Id="rId22" Type="http://schemas.openxmlformats.org/officeDocument/2006/relationships/hyperlink" Target="https://gopherconindia.org/" TargetMode="External"/><Relationship Id="rId23" Type="http://schemas.openxmlformats.org/officeDocument/2006/relationships/hyperlink" Target="https://kwoc.kossiitkgp.org/" TargetMode="External"/><Relationship Id="rId24" Type="http://schemas.openxmlformats.org/officeDocument/2006/relationships/hyperlink" Target="https://eventyay.com/fossasia/summit2027/" TargetMode="External"/><Relationship Id="rId25" Type="http://schemas.openxmlformats.org/officeDocument/2006/relationships/hyperlink" Target="https://24pullrequests.com/" TargetMode="External"/><Relationship Id="rId26" Type="http://schemas.openxmlformats.org/officeDocument/2006/relationships/hyperlink" Target="https://ghw.mlh.com/" TargetMode="External"/><Relationship Id="rId27" Type="http://schemas.openxmlformats.org/officeDocument/2006/relationships/hyperlink" Target="https://opensourcecon.in/" TargetMode="External"/><Relationship Id="rId28" Type="http://schemas.openxmlformats.org/officeDocument/2006/relationships/hyperlink" Target="https://devfest26.gdgahmedabad.com/" TargetMode="External"/><Relationship Id="rId29" Type="http://schemas.openxmlformats.org/officeDocument/2006/relationships/hyperlink" Target="https://devfestmumbai.com/" TargetMode="External"/><Relationship Id="rId30" Type="http://schemas.openxmlformats.org/officeDocument/2006/relationships/hyperlink" Target="https://mentorship.kde.org/sok/" TargetMode="External"/><Relationship Id="rId31" Type="http://schemas.openxmlformats.org/officeDocument/2006/relationships/hyperlink" Target="https://scipy.in/2026/" TargetMode="External"/><Relationship Id="rId32" Type="http://schemas.openxmlformats.org/officeDocument/2006/relationships/hyperlink" Target="https://www.swoc.in/" TargetMode="External"/><Relationship Id="rId33" Type="http://schemas.openxmlformats.org/officeDocument/2006/relationships/hyperlink" Target="https://fossunited.org/c/mangalore" TargetMode="External"/><Relationship Id="rId34" Type="http://schemas.openxmlformats.org/officeDocument/2006/relationships/hyperlink" Target="https://mentorship.lfx.linuxfoundation.org/" TargetMode="External"/><Relationship Id="rId35" Type="http://schemas.openxmlformats.org/officeDocument/2006/relationships/hyperlink" Target="https://fosdem.org/2027/" TargetMode="External"/><Relationship Id="rId36" Type="http://schemas.openxmlformats.org/officeDocument/2006/relationships/hyperlink" Target="https://www.outreachy.org/" TargetMode="External"/><Relationship Id="rId37" Type="http://schemas.openxmlformats.org/officeDocument/2006/relationships/hyperlink" Target="https://2027.djangocon.eu/" TargetMode="External"/><Relationship Id="rId38" Type="http://schemas.openxmlformats.org/officeDocument/2006/relationships/hyperlink" Target="https://summerofcode.withgoogle.com/" TargetMode="External"/><Relationship Id="rId39" Type="http://schemas.openxmlformats.org/officeDocument/2006/relationships/hyperlink" Target="https://www.cncf.io/blog/2026/08/20/announcing-h1-2027-kcds/" TargetMode="External"/><Relationship Id="rId40" Type="http://schemas.openxmlformats.org/officeDocument/2006/relationships/hyperlink" Target="https://docs.linuxfoundation.org/lfx/mentorship/mentorship-program-timelines" TargetMode="External"/><Relationship Id="rId41" Type="http://schemas.openxmlformats.org/officeDocument/2006/relationships/hyperlink" Target="https://pgconf.in/" TargetMode="External"/><Relationship Id="rId42" Type="http://schemas.openxmlformats.org/officeDocument/2006/relationships/hyperlink" Target="https://eventyay.com/fossasia/summit2027/" TargetMode="External"/><Relationship Id="rId43" Type="http://schemas.openxmlformats.org/officeDocument/2006/relationships/hyperlink" Target="https://events.linuxfoundation.org/kubecon-cloudnativecon-europe/" TargetMode="External"/><Relationship Id="rId44" Type="http://schemas.openxmlformats.org/officeDocument/2006/relationships/hyperlink" Target="https://summerofcode.withgoogle.com/" TargetMode="External"/><Relationship Id="rId45" Type="http://schemas.openxmlformats.org/officeDocument/2006/relationships/hyperlink" Target="https://fossunited.org/fosshack/2026" TargetMode="External"/><Relationship Id="rId46" Type="http://schemas.openxmlformats.org/officeDocument/2006/relationships/hyperlink" Target="https://www.cncf.io/blog/2026/08/20/announcing-h1-2027-kcds/" TargetMode="External"/><Relationship Id="rId47" Type="http://schemas.openxmlformats.org/officeDocument/2006/relationships/hyperlink" Target="https://codeforgoodtech.in/" TargetMode="External"/><Relationship Id="rId48" Type="http://schemas.openxmlformats.org/officeDocument/2006/relationships/hyperlink" Target="https://events.linuxfoundation.org/open-source-summit-north-america/" TargetMode="External"/><Relationship Id="rId49" Type="http://schemas.openxmlformats.org/officeDocument/2006/relationships/hyperlink" Target="https://io.google/" TargetMode="External"/><Relationship Id="rId50" Type="http://schemas.openxmlformats.org/officeDocument/2006/relationships/hyperlink" Target="https://events.linuxfoundation.org/kubecon-cloudnativecon-india/" TargetMode="External"/><Relationship Id="rId51" Type="http://schemas.openxmlformats.org/officeDocument/2006/relationships/hyperlink" Target="https://events.linuxfoundation.org/about/calendar/" TargetMode="External"/><Relationship Id="rId52" Type="http://schemas.openxmlformats.org/officeDocument/2006/relationships/hyperlink" Target="https://fossunited.org/indiafoss/2026" TargetMode="External"/><Relationship Id="rId53" Type="http://schemas.openxmlformats.org/officeDocument/2006/relationships/hyperlink" Target="https://hacktoberfest.com/" TargetMode="External"/><Relationship Id="rId54" Type="http://schemas.openxmlformats.org/officeDocument/2006/relationships/hyperlink" Target="https://www.cncf.io/kubecon-cloudnativecon-events/" TargetMode="External"/><Relationship Id="rId55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ntigravity.google/" TargetMode="External"/><Relationship Id="rId2" Type="http://schemas.openxmlformats.org/officeDocument/2006/relationships/hyperlink" Target="https://education.github.com/pack" TargetMode="External"/><Relationship Id="rId3" Type="http://schemas.openxmlformats.org/officeDocument/2006/relationships/hyperlink" Target="https://code.visualstudio.com/blogs/2025/04/07/agentMode" TargetMode="External"/><Relationship Id="rId4" Type="http://schemas.openxmlformats.org/officeDocument/2006/relationships/hyperlink" Target="https://code.claude.com/docs/en/overview" TargetMode="External"/><Relationship Id="rId5" Type="http://schemas.openxmlformats.org/officeDocument/2006/relationships/hyperlink" Target="https://cursor.com/pricing" TargetMode="External"/><Relationship Id="rId6" Type="http://schemas.openxmlformats.org/officeDocument/2006/relationships/hyperlink" Target="https://zed.dev/education" TargetMode="External"/><Relationship Id="rId7" Type="http://schemas.openxmlformats.org/officeDocument/2006/relationships/hyperlink" Target="https://developers.openai.com/codex/cli" TargetMode="External"/><Relationship Id="rId8" Type="http://schemas.openxmlformats.org/officeDocument/2006/relationships/hyperlink" Target="https://github.com/google-gemini/gemini-cli" TargetMode="External"/><Relationship Id="rId9" Type="http://schemas.openxmlformats.org/officeDocument/2006/relationships/hyperlink" Target="https://devin.ai/desktop" TargetMode="External"/><Relationship Id="rId10" Type="http://schemas.openxmlformats.org/officeDocument/2006/relationships/hyperlink" Target="https://github.com/cline/cline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evelopers.google.com/open-source/gsoc/resources/ai_guidance" TargetMode="External"/><Relationship Id="rId2" Type="http://schemas.openxmlformats.org/officeDocument/2006/relationships/hyperlink" Target="https://www.outreachy.org/docs/applicant/" TargetMode="External"/><Relationship Id="rId3" Type="http://schemas.openxmlformats.org/officeDocument/2006/relationships/hyperlink" Target="https://hacktoberfest.com/questions/" TargetMode="External"/><Relationship Id="rId4" Type="http://schemas.openxmlformats.org/officeDocument/2006/relationships/hyperlink" Target="https://www.linuxfoundation.org/legal/generative-ai" TargetMode="External"/><Relationship Id="rId5" Type="http://schemas.openxmlformats.org/officeDocument/2006/relationships/hyperlink" Target="https://www.cncf.io/blog/2026/03/10/sustaining-open-source-in-the-age-of-generative-ai/" TargetMode="External"/><Relationship Id="rId6" Type="http://schemas.openxmlformats.org/officeDocument/2006/relationships/hyperlink" Target="https://www.kubernetes.dev/docs/guide/pull-requests/" TargetMode="External"/><Relationship Id="rId7" Type="http://schemas.openxmlformats.org/officeDocument/2006/relationships/hyperlink" Target="https://github.com/torvalds/linux/blob/master/Documentation/process/coding-assistants.rst" TargetMode="External"/><Relationship Id="rId8" Type="http://schemas.openxmlformats.org/officeDocument/2006/relationships/hyperlink" Target="https://www.apache.org/legal/generative-tooling.html" TargetMode="External"/><Relationship Id="rId9" Type="http://schemas.openxmlformats.org/officeDocument/2006/relationships/hyperlink" Target="https://github.com/jaegertracing/jaeger/blob/main/AI_POLICY.md" TargetMode="External"/><Relationship Id="rId10" Type="http://schemas.openxmlformats.org/officeDocument/2006/relationships/hyperlink" Target="https://www.jenkins.io/projects/gsoc/ai-usage-policy/" TargetMode="External"/><Relationship Id="rId11" Type="http://schemas.openxmlformats.org/officeDocument/2006/relationships/hyperlink" Target="https://zulip.readthedocs.io/en/latest/contributing/contributing.html" TargetMode="External"/><Relationship Id="rId12" Type="http://schemas.openxmlformats.org/officeDocument/2006/relationships/hyperlink" Target="https://github.com/oppia/oppia/wiki/Google-Summer-of-Code-2026" TargetMode="External"/><Relationship Id="rId13" Type="http://schemas.openxmlformats.org/officeDocument/2006/relationships/hyperlink" Target="https://numpy.org/devdocs/dev/ai_policy.html" TargetMode="External"/><Relationship Id="rId14" Type="http://schemas.openxmlformats.org/officeDocument/2006/relationships/hyperlink" Target="https://scikit-learn.org/stable/developers/contributing.html" TargetMode="External"/><Relationship Id="rId15" Type="http://schemas.openxmlformats.org/officeDocument/2006/relationships/hyperlink" Target="https://docs.djangoproject.com/en/dev/internals/contributing/writing-code/submitting-patches/" TargetMode="External"/><Relationship Id="rId16" Type="http://schemas.openxmlformats.org/officeDocument/2006/relationships/hyperlink" Target="https://devguide.python.org/getting-started/ai-tools/" TargetMode="External"/><Relationship Id="rId17" Type="http://schemas.openxmlformats.org/officeDocument/2006/relationships/hyperlink" Target="https://github.com/open-telemetry/community/blob/main/policies/genai.md" TargetMode="External"/><Relationship Id="rId18" Type="http://schemas.openxmlformats.org/officeDocument/2006/relationships/hyperlink" Target="https://llvm.org/docs/AIToolPolicy.html" TargetMode="External"/><Relationship Id="rId19" Type="http://schemas.openxmlformats.org/officeDocument/2006/relationships/hyperlink" Target="https://firefox-source-docs.mozilla.org/contributing/ai-coding.html" TargetMode="External"/><Relationship Id="rId20" Type="http://schemas.openxmlformats.org/officeDocument/2006/relationships/hyperlink" Target="https://www.qemu.org/docs/master/devel/code-provenance.html" TargetMode="External"/><Relationship Id="rId21" Type="http://schemas.openxmlformats.org/officeDocument/2006/relationships/hyperlink" Target="https://wiki.gentoo.org/wiki/Project:Council/AI_policy" TargetMode="External"/><Relationship Id="rId22" Type="http://schemas.openxmlformats.org/officeDocument/2006/relationships/hyperlink" Target="https://gcc.gnu.org/contribute.html" TargetMode="External"/><Relationship Id="rId23" Type="http://schemas.openxmlformats.org/officeDocument/2006/relationships/hyperlink" Target="https://godotengine.org/article/contribution-policy-2026/" TargetMode="External"/><Relationship Id="rId24" Type="http://schemas.openxmlformats.org/officeDocument/2006/relationships/hyperlink" Target="https://curl.se/dev/contribute.html" TargetMode="External"/><Relationship Id="rId25" Type="http://schemas.openxmlformats.org/officeDocument/2006/relationships/hyperlink" Target="https://github.com/melissawm/open-source-ai-contribution-policies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github.com/jaegertracing/jaeger-ui" TargetMode="External"/><Relationship Id="rId2" Type="http://schemas.openxmlformats.org/officeDocument/2006/relationships/hyperlink" Target="https://github.com/jaegertracing/jaeger-ui/issues?q=is%3Aissue%20is%3Aopen%20label%3A%22good%20first%20issue%22%20no%3Aassignee" TargetMode="External"/><Relationship Id="rId3" Type="http://schemas.openxmlformats.org/officeDocument/2006/relationships/hyperlink" Target="https://github.com/meshery/meshery" TargetMode="External"/><Relationship Id="rId4" Type="http://schemas.openxmlformats.org/officeDocument/2006/relationships/hyperlink" Target="https://github.com/meshery/meshery/issues?q=is%3Aissue%20is%3Aopen%20label%3A%22good%20first%20issue%22%20no%3Aassignee" TargetMode="External"/><Relationship Id="rId5" Type="http://schemas.openxmlformats.org/officeDocument/2006/relationships/hyperlink" Target="https://github.com/kubernetes-sigs/headlamp" TargetMode="External"/><Relationship Id="rId6" Type="http://schemas.openxmlformats.org/officeDocument/2006/relationships/hyperlink" Target="https://github.com/kubernetes-sigs/headlamp/issues?q=is%3Aissue%20is%3Aopen%20label%3A%22good%20first%20issue%22%20no%3Aassignee" TargetMode="External"/><Relationship Id="rId7" Type="http://schemas.openxmlformats.org/officeDocument/2006/relationships/hyperlink" Target="https://github.com/openeverest/openeverest" TargetMode="External"/><Relationship Id="rId8" Type="http://schemas.openxmlformats.org/officeDocument/2006/relationships/hyperlink" Target="https://github.com/openeverest/openeverest/issues?q=is%3Aissue%20is%3Aopen%20label%3A%22good%20first%20issue%22%20no%3Aassignee" TargetMode="External"/><Relationship Id="rId9" Type="http://schemas.openxmlformats.org/officeDocument/2006/relationships/hyperlink" Target="https://github.com/pipe-cd/pipecd" TargetMode="External"/><Relationship Id="rId10" Type="http://schemas.openxmlformats.org/officeDocument/2006/relationships/hyperlink" Target="https://github.com/pipe-cd/pipecd/issues?q=is%3Aissue%20is%3Aopen%20label%3A%22good%20first%20issue%22%20no%3Aassignee" TargetMode="External"/><Relationship Id="rId11" Type="http://schemas.openxmlformats.org/officeDocument/2006/relationships/hyperlink" Target="https://github.com/oppia/oppia" TargetMode="External"/><Relationship Id="rId12" Type="http://schemas.openxmlformats.org/officeDocument/2006/relationships/hyperlink" Target="https://github.com/oppia/oppia/issues?q=is%3Aissue%20is%3Aopen%20label%3A%22good%20first%20issue%22%20no%3Aassignee" TargetMode="External"/><Relationship Id="rId13" Type="http://schemas.openxmlformats.org/officeDocument/2006/relationships/hyperlink" Target="https://github.com/ohcnetwork/care_fe" TargetMode="External"/><Relationship Id="rId14" Type="http://schemas.openxmlformats.org/officeDocument/2006/relationships/hyperlink" Target="https://github.com/ohcnetwork/care_fe/issues?q=is%3Aissue%20is%3Aopen%20label%3A%22good%20first%20issue%22%20no%3Aassignee" TargetMode="External"/><Relationship Id="rId15" Type="http://schemas.openxmlformats.org/officeDocument/2006/relationships/hyperlink" Target="https://github.com/kubeflow/pipelines" TargetMode="External"/><Relationship Id="rId16" Type="http://schemas.openxmlformats.org/officeDocument/2006/relationships/hyperlink" Target="https://github.com/kubeflow/pipelines/issues?q=is%3Aissue%20is%3Aopen%20label%3A%22good%20first%20issue%22%20no%3Aassignee" TargetMode="External"/><Relationship Id="rId17" Type="http://schemas.openxmlformats.org/officeDocument/2006/relationships/hyperlink" Target="https://github.com/kubescape/kubescape" TargetMode="External"/><Relationship Id="rId18" Type="http://schemas.openxmlformats.org/officeDocument/2006/relationships/hyperlink" Target="https://github.com/kubescape/kubescape/issues?q=is%3Aissue%20is%3Aopen%20label%3A%22good%20first%20issue%22%20no%3Aassignee" TargetMode="External"/><Relationship Id="rId19" Type="http://schemas.openxmlformats.org/officeDocument/2006/relationships/hyperlink" Target="https://github.com/kyverno/kyverno" TargetMode="External"/><Relationship Id="rId20" Type="http://schemas.openxmlformats.org/officeDocument/2006/relationships/hyperlink" Target="https://github.com/kyverno/kyverno/issues?q=is%3Aissue%20is%3Aopen%20label%3A%22good%20first%20issue%22%20no%3Aassignee" TargetMode="External"/><Relationship Id="rId21" Type="http://schemas.openxmlformats.org/officeDocument/2006/relationships/hyperlink" Target="https://github.com/jenkinsci/jenkins" TargetMode="External"/><Relationship Id="rId22" Type="http://schemas.openxmlformats.org/officeDocument/2006/relationships/hyperlink" Target="https://github.com/jenkinsci/jenkins/issues?q=is%3Aissue%20is%3Aopen%20label%3A%22good%20first%20issue%22%20no%3Aassignee" TargetMode="External"/><Relationship Id="rId23" Type="http://schemas.openxmlformats.org/officeDocument/2006/relationships/hyperlink" Target="https://github.com/Apicurio/apicurio-registry" TargetMode="External"/><Relationship Id="rId24" Type="http://schemas.openxmlformats.org/officeDocument/2006/relationships/hyperlink" Target="https://github.com/Apicurio/apicurio-registry/issues?q=is%3Aissue%20is%3Aopen%20label%3A%22good%20first%20issue%22%20no%3Aassignee" TargetMode="External"/><Relationship Id="rId25" Type="http://schemas.openxmlformats.org/officeDocument/2006/relationships/hyperlink" Target="https://github.com/RocketChat/Rocket.Chat" TargetMode="External"/><Relationship Id="rId26" Type="http://schemas.openxmlformats.org/officeDocument/2006/relationships/hyperlink" Target="https://github.com/RocketChat/Rocket.Chat/issues?q=is%3Aissue%20is%3Aopen%20label%3A%22good%20first%20issue%22%20no%3Aassignee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ossium.in/" TargetMode="External"/><Relationship Id="rId2" Type="http://schemas.openxmlformats.org/officeDocument/2006/relationships/hyperlink" Target="https://dev.to/yakhilesh/20-open-source-internship-programs-updated-for-2026-5h32" TargetMode="External"/><Relationship Id="rId3" Type="http://schemas.openxmlformats.org/officeDocument/2006/relationships/hyperlink" Target="https://github.com/vikas0799/List-of-OpenSource-Programs" TargetMode="External"/><Relationship Id="rId4" Type="http://schemas.openxmlformats.org/officeDocument/2006/relationships/hyperlink" Target="https://summerofcode.withgoogle.com/" TargetMode="External"/><Relationship Id="rId5" Type="http://schemas.openxmlformats.org/officeDocument/2006/relationships/hyperlink" Target="https://mentorship.lfx.linuxfoundation.org/" TargetMode="External"/><Relationship Id="rId6" Type="http://schemas.openxmlformats.org/officeDocument/2006/relationships/hyperlink" Target="https://developers.google.com/open-source/gsoc/timeline" TargetMode="External"/><Relationship Id="rId7" Type="http://schemas.openxmlformats.org/officeDocument/2006/relationships/hyperlink" Target="https://developers.google.com/open-source/gsoc/resources/ai_guidance" TargetMode="External"/><Relationship Id="rId8" Type="http://schemas.openxmlformats.org/officeDocument/2006/relationships/hyperlink" Target="https://github.com/cncf/mentoring" TargetMode="External"/><Relationship Id="rId9" Type="http://schemas.openxmlformats.org/officeDocument/2006/relationships/hyperlink" Target="https://docs.linuxfoundation.org/lfx/mentorship/mentee-stipends" TargetMode="External"/><Relationship Id="rId10" Type="http://schemas.openxmlformats.org/officeDocument/2006/relationships/hyperlink" Target="https://docs.linuxfoundation.org/lfx/mentorship/mentorship-program-timelines" TargetMode="External"/><Relationship Id="rId11" Type="http://schemas.openxmlformats.org/officeDocument/2006/relationships/hyperlink" Target="https://goodfirstissues.com/" TargetMode="External"/><Relationship Id="rId12" Type="http://schemas.openxmlformats.org/officeDocument/2006/relationships/hyperlink" Target="https://up-for-grabs.net/" TargetMode="External"/><Relationship Id="rId13" Type="http://schemas.openxmlformats.org/officeDocument/2006/relationships/hyperlink" Target="https://www.firsttimersonly.com/" TargetMode="External"/><Relationship Id="rId14" Type="http://schemas.openxmlformats.org/officeDocument/2006/relationships/hyperlink" Target="https://www.codetriage.com/" TargetMode="External"/><Relationship Id="rId15" Type="http://schemas.openxmlformats.org/officeDocument/2006/relationships/hyperlink" Target="https://github.com/MunGell/awesome-for-beginners" TargetMode="External"/><Relationship Id="rId16" Type="http://schemas.openxmlformats.org/officeDocument/2006/relationships/hyperlink" Target="https://github.com/VincenzoImp/gsoc-2026-explorer" TargetMode="External"/><Relationship Id="rId17" Type="http://schemas.openxmlformats.org/officeDocument/2006/relationships/hyperlink" Target="https://git-scm.com/book" TargetMode="External"/><Relationship Id="rId18" Type="http://schemas.openxmlformats.org/officeDocument/2006/relationships/hyperlink" Target="https://learngitbranching.js.org/" TargetMode="External"/><Relationship Id="rId19" Type="http://schemas.openxmlformats.org/officeDocument/2006/relationships/hyperlink" Target="https://skills.github.com/" TargetMode="External"/><Relationship Id="rId20" Type="http://schemas.openxmlformats.org/officeDocument/2006/relationships/hyperlink" Target="https://opensource.guide/how-to-contribute/" TargetMode="External"/><Relationship Id="rId21" Type="http://schemas.openxmlformats.org/officeDocument/2006/relationships/hyperlink" Target="https://training.linuxfoundation.org/training/a-beginners-guide-to-linux-kernel-development-lfd103/" TargetMode="External"/><Relationship Id="rId22" Type="http://schemas.openxmlformats.org/officeDocument/2006/relationships/hyperlink" Target="https://www.conventionalcommits.org/" TargetMode="External"/><Relationship Id="rId23" Type="http://schemas.openxmlformats.org/officeDocument/2006/relationships/hyperlink" Target="https://developercertificate.org/" TargetMode="External"/><Relationship Id="rId24" Type="http://schemas.openxmlformats.org/officeDocument/2006/relationships/hyperlink" Target="https://github.com/melissawm/open-source-ai-contribution-polici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15" hidden="false" customHeight="false" outlineLevel="0" collapsed="false">
      <c r="A14" s="4" t="s">
        <v>21</v>
      </c>
      <c r="B14" s="5" t="s">
        <v>22</v>
      </c>
    </row>
    <row r="16" customFormat="false" ht="15" hidden="false" customHeight="false" outlineLevel="0" collapsed="false">
      <c r="A16" s="3" t="s">
        <v>23</v>
      </c>
    </row>
    <row r="17" customFormat="false" ht="15" hidden="false" customHeight="false" outlineLevel="0" collapsed="false">
      <c r="A17" s="6" t="s">
        <v>24</v>
      </c>
      <c r="B17" s="5" t="s">
        <v>25</v>
      </c>
    </row>
    <row r="18" customFormat="false" ht="23.85" hidden="false" customHeight="false" outlineLevel="0" collapsed="false">
      <c r="A18" s="7" t="s">
        <v>26</v>
      </c>
      <c r="B18" s="5" t="s">
        <v>27</v>
      </c>
    </row>
    <row r="19" customFormat="false" ht="15" hidden="false" customHeight="false" outlineLevel="0" collapsed="false">
      <c r="A19" s="8" t="s">
        <v>28</v>
      </c>
      <c r="B19" s="5" t="s">
        <v>29</v>
      </c>
    </row>
    <row r="21" customFormat="false" ht="15" hidden="false" customHeight="false" outlineLevel="0" collapsed="false">
      <c r="A21" s="3" t="s">
        <v>30</v>
      </c>
    </row>
    <row r="22" customFormat="false" ht="15" hidden="false" customHeight="false" outlineLevel="0" collapsed="false">
      <c r="A22" s="9" t="s">
        <v>31</v>
      </c>
      <c r="B22" s="5" t="s">
        <v>32</v>
      </c>
    </row>
    <row r="23" customFormat="false" ht="23.85" hidden="false" customHeight="false" outlineLevel="0" collapsed="false">
      <c r="A23" s="9" t="s">
        <v>31</v>
      </c>
      <c r="B23" s="5" t="s">
        <v>33</v>
      </c>
    </row>
    <row r="24" customFormat="false" ht="15" hidden="false" customHeight="false" outlineLevel="0" collapsed="false">
      <c r="A24" s="9" t="s">
        <v>31</v>
      </c>
      <c r="B24" s="5" t="s">
        <v>34</v>
      </c>
    </row>
    <row r="25" customFormat="false" ht="15" hidden="false" customHeight="false" outlineLevel="0" collapsed="false">
      <c r="A25" s="9" t="s">
        <v>31</v>
      </c>
      <c r="B25" s="5" t="s">
        <v>35</v>
      </c>
    </row>
    <row r="26" customFormat="false" ht="15" hidden="false" customHeight="false" outlineLevel="0" collapsed="false">
      <c r="A26" s="9" t="s">
        <v>31</v>
      </c>
      <c r="B26" s="5" t="s">
        <v>36</v>
      </c>
    </row>
    <row r="27" customFormat="false" ht="15" hidden="false" customHeight="false" outlineLevel="0" collapsed="false">
      <c r="A27" s="9" t="s">
        <v>31</v>
      </c>
      <c r="B27" s="5" t="s">
        <v>37</v>
      </c>
    </row>
    <row r="28" customFormat="false" ht="23.85" hidden="false" customHeight="false" outlineLevel="0" collapsed="false">
      <c r="A28" s="9" t="s">
        <v>31</v>
      </c>
      <c r="B28" s="5" t="s">
        <v>38</v>
      </c>
    </row>
    <row r="30" customFormat="false" ht="15" hidden="false" customHeight="false" outlineLevel="0" collapsed="false">
      <c r="A30" s="3" t="s">
        <v>39</v>
      </c>
    </row>
    <row r="31" customFormat="false" ht="15" hidden="false" customHeight="false" outlineLevel="0" collapsed="false">
      <c r="A31" s="10" t="s">
        <v>40</v>
      </c>
      <c r="B31" s="11" t="n">
        <f aca="false">COUNTIF('100 Orgs'!$C$5:$C$104,"Beginner")</f>
        <v>34</v>
      </c>
    </row>
    <row r="32" customFormat="false" ht="15" hidden="false" customHeight="false" outlineLevel="0" collapsed="false">
      <c r="A32" s="10" t="s">
        <v>41</v>
      </c>
      <c r="B32" s="11" t="n">
        <f aca="false">COUNTIF('100 Orgs'!$C$5:$C$104,"Intermediate")</f>
        <v>38</v>
      </c>
    </row>
    <row r="33" customFormat="false" ht="15" hidden="false" customHeight="false" outlineLevel="0" collapsed="false">
      <c r="A33" s="10" t="s">
        <v>42</v>
      </c>
      <c r="B33" s="11" t="n">
        <f aca="false">COUNTIF('100 Orgs'!$C$5:$C$104,"Advanced")</f>
        <v>28</v>
      </c>
    </row>
    <row r="34" customFormat="false" ht="15" hidden="false" customHeight="false" outlineLevel="0" collapsed="false">
      <c r="A34" s="10" t="s">
        <v>43</v>
      </c>
      <c r="B34" s="11" t="n">
        <f aca="false">COUNTIF('100 Orgs'!$D$5:$D$104,"*GSoC 2026*")</f>
        <v>76</v>
      </c>
    </row>
    <row r="35" customFormat="false" ht="15" hidden="false" customHeight="false" outlineLevel="0" collapsed="false">
      <c r="A35" s="10" t="s">
        <v>44</v>
      </c>
      <c r="B35" s="11" t="n">
        <f aca="false">COUNTIF('100 Orgs'!$D$5:$D$104,"*LF*")</f>
        <v>31</v>
      </c>
    </row>
    <row r="36" customFormat="false" ht="15" hidden="false" customHeight="false" outlineLevel="0" collapsed="false">
      <c r="A36" s="10" t="s">
        <v>45</v>
      </c>
      <c r="B36" s="11" t="n">
        <f aca="false">COUNTIF('100 Orgs'!$R$5:$R$104,"First PR merged")+COUNTIF('100 Orgs'!$R$5:$R$104,"3+ PRs merged")+COUNTIF('100 Orgs'!$R$5:$R$104,"Applied to program")</f>
        <v>0</v>
      </c>
    </row>
    <row r="38" customFormat="false" ht="15" hidden="false" customHeight="false" outlineLevel="0" collapsed="false">
      <c r="A38" s="3" t="s">
        <v>46</v>
      </c>
    </row>
    <row r="39" customFormat="false" ht="15" hidden="false" customHeight="false" outlineLevel="0" collapsed="false">
      <c r="A39" s="9" t="s">
        <v>31</v>
      </c>
      <c r="B39" s="5" t="s">
        <v>47</v>
      </c>
    </row>
    <row r="40" customFormat="false" ht="23.85" hidden="false" customHeight="false" outlineLevel="0" collapsed="false">
      <c r="A40" s="9" t="s">
        <v>31</v>
      </c>
      <c r="B40" s="5" t="s">
        <v>48</v>
      </c>
    </row>
    <row r="41" customFormat="false" ht="23.85" hidden="false" customHeight="false" outlineLevel="0" collapsed="false">
      <c r="A41" s="9" t="s">
        <v>31</v>
      </c>
      <c r="B41" s="5" t="s">
        <v>49</v>
      </c>
    </row>
    <row r="42" customFormat="false" ht="15" hidden="false" customHeight="false" outlineLevel="0" collapsed="false">
      <c r="A42" s="9" t="s">
        <v>31</v>
      </c>
      <c r="B42" s="5" t="s">
        <v>50</v>
      </c>
    </row>
    <row r="43" customFormat="false" ht="23.85" hidden="false" customHeight="false" outlineLevel="0" collapsed="false">
      <c r="A43" s="9" t="s">
        <v>31</v>
      </c>
      <c r="B43" s="5" t="s">
        <v>51</v>
      </c>
    </row>
  </sheetData>
  <hyperlinks>
    <hyperlink ref="A5" r:id="rId1" location="'100%20Orgs'!A1" display="100 Orgs"/>
    <hyperlink ref="A6" r:id="rId2" location="'Programs'!A1" display="Programs"/>
    <hyperlink ref="A7" r:id="rId3" location="'Events%20Calendar'!A1" display="Events Calendar"/>
    <hyperlink ref="A8" r:id="rId4" location="'AI%20Roadmap'!A1" display="AI Roadmap"/>
    <hyperlink ref="A9" r:id="rId5" location="'AI%20Tools'!A1" display="AI Tools"/>
    <hyperlink ref="A10" r:id="rId6" location="'AI%20Policies'!A1" display="AI Policies"/>
    <hyperlink ref="A11" r:id="rId7" location="'Monthly%20Plan'!A1" display="Monthly Plan"/>
    <hyperlink ref="A12" r:id="rId8" location="'My%2010%20Repos'!A1" display="My 10 Repos"/>
    <hyperlink ref="A13" r:id="rId9" location="'Git%20Cheatsheet'!A1" display="Git Cheatsheet"/>
    <hyperlink ref="A14" r:id="rId10" location="'Resources'!A1" display="Re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3" min="10" style="0" width="11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6" min="16" style="0" width="50"/>
    <col collapsed="false" customWidth="true" hidden="false" outlineLevel="0" max="17" min="17" style="0" width="11"/>
    <col collapsed="false" customWidth="true" hidden="false" outlineLevel="0" max="18" min="18" style="0" width="18"/>
    <col collapsed="false" customWidth="true" hidden="false" outlineLevel="0" max="19" min="19" style="0" width="28"/>
  </cols>
  <sheetData>
    <row r="1" customFormat="false" ht="18.5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36" hidden="false" customHeight="true" outlineLevel="0" collapsed="false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58</v>
      </c>
      <c r="F4" s="12" t="s">
        <v>59</v>
      </c>
      <c r="G4" s="12" t="s">
        <v>60</v>
      </c>
      <c r="H4" s="12" t="s">
        <v>61</v>
      </c>
      <c r="I4" s="12" t="s">
        <v>62</v>
      </c>
      <c r="J4" s="12" t="s">
        <v>63</v>
      </c>
      <c r="K4" s="12" t="s">
        <v>64</v>
      </c>
      <c r="L4" s="12" t="s">
        <v>65</v>
      </c>
      <c r="M4" s="12" t="s">
        <v>66</v>
      </c>
      <c r="N4" s="12" t="s">
        <v>67</v>
      </c>
      <c r="O4" s="12" t="s">
        <v>68</v>
      </c>
      <c r="P4" s="12" t="s">
        <v>69</v>
      </c>
      <c r="Q4" s="12" t="s">
        <v>70</v>
      </c>
      <c r="R4" s="12" t="s">
        <v>71</v>
      </c>
      <c r="S4" s="12" t="s">
        <v>72</v>
      </c>
    </row>
    <row r="5" customFormat="false" ht="23.85" hidden="false" customHeight="false" outlineLevel="0" collapsed="false">
      <c r="A5" s="13" t="n">
        <v>1</v>
      </c>
      <c r="B5" s="14" t="s">
        <v>73</v>
      </c>
      <c r="C5" s="15" t="s">
        <v>24</v>
      </c>
      <c r="D5" s="16" t="s">
        <v>74</v>
      </c>
      <c r="E5" s="16" t="s">
        <v>75</v>
      </c>
      <c r="F5" s="17" t="s">
        <v>76</v>
      </c>
      <c r="G5" s="17" t="s">
        <v>77</v>
      </c>
      <c r="H5" s="17" t="s">
        <v>78</v>
      </c>
      <c r="I5" s="17" t="s">
        <v>79</v>
      </c>
      <c r="J5" s="13" t="n">
        <v>61</v>
      </c>
      <c r="K5" s="13" t="n">
        <v>23</v>
      </c>
      <c r="L5" s="13" t="s">
        <v>80</v>
      </c>
      <c r="M5" s="13" t="s">
        <v>81</v>
      </c>
      <c r="N5" s="13" t="s">
        <v>81</v>
      </c>
      <c r="O5" s="16" t="s">
        <v>82</v>
      </c>
      <c r="P5" s="16" t="s">
        <v>83</v>
      </c>
      <c r="Q5" s="13" t="s">
        <v>84</v>
      </c>
      <c r="R5" s="18" t="s">
        <v>85</v>
      </c>
      <c r="S5" s="18"/>
    </row>
    <row r="6" customFormat="false" ht="23.85" hidden="false" customHeight="false" outlineLevel="0" collapsed="false">
      <c r="A6" s="13" t="n">
        <v>2</v>
      </c>
      <c r="B6" s="14" t="s">
        <v>86</v>
      </c>
      <c r="C6" s="15" t="s">
        <v>24</v>
      </c>
      <c r="D6" s="16" t="s">
        <v>74</v>
      </c>
      <c r="E6" s="16" t="s">
        <v>87</v>
      </c>
      <c r="F6" s="17" t="s">
        <v>88</v>
      </c>
      <c r="G6" s="17" t="s">
        <v>77</v>
      </c>
      <c r="H6" s="17" t="s">
        <v>89</v>
      </c>
      <c r="I6" s="17" t="s">
        <v>79</v>
      </c>
      <c r="J6" s="13" t="n">
        <v>273</v>
      </c>
      <c r="K6" s="13" t="n">
        <v>31</v>
      </c>
      <c r="L6" s="13" t="s">
        <v>80</v>
      </c>
      <c r="M6" s="13" t="s">
        <v>81</v>
      </c>
      <c r="N6" s="13" t="s">
        <v>81</v>
      </c>
      <c r="O6" s="16" t="s">
        <v>82</v>
      </c>
      <c r="P6" s="16" t="s">
        <v>90</v>
      </c>
      <c r="Q6" s="13" t="s">
        <v>91</v>
      </c>
      <c r="R6" s="18" t="s">
        <v>85</v>
      </c>
      <c r="S6" s="18"/>
    </row>
    <row r="7" customFormat="false" ht="23.85" hidden="false" customHeight="false" outlineLevel="0" collapsed="false">
      <c r="A7" s="13" t="n">
        <v>3</v>
      </c>
      <c r="B7" s="14" t="s">
        <v>92</v>
      </c>
      <c r="C7" s="15" t="s">
        <v>24</v>
      </c>
      <c r="D7" s="16" t="s">
        <v>93</v>
      </c>
      <c r="E7" s="16" t="s">
        <v>94</v>
      </c>
      <c r="F7" s="17" t="s">
        <v>95</v>
      </c>
      <c r="G7" s="17" t="s">
        <v>77</v>
      </c>
      <c r="H7" s="17" t="s">
        <v>89</v>
      </c>
      <c r="I7" s="17" t="s">
        <v>79</v>
      </c>
      <c r="J7" s="13" t="n">
        <v>317</v>
      </c>
      <c r="K7" s="13" t="n">
        <v>82</v>
      </c>
      <c r="L7" s="13" t="s">
        <v>80</v>
      </c>
      <c r="M7" s="13" t="s">
        <v>96</v>
      </c>
      <c r="N7" s="13" t="s">
        <v>81</v>
      </c>
      <c r="O7" s="16" t="s">
        <v>82</v>
      </c>
      <c r="P7" s="16" t="s">
        <v>97</v>
      </c>
      <c r="Q7" s="13" t="s">
        <v>98</v>
      </c>
      <c r="R7" s="18" t="s">
        <v>85</v>
      </c>
      <c r="S7" s="18"/>
    </row>
    <row r="8" customFormat="false" ht="23.85" hidden="false" customHeight="false" outlineLevel="0" collapsed="false">
      <c r="A8" s="13" t="n">
        <v>4</v>
      </c>
      <c r="B8" s="14" t="s">
        <v>99</v>
      </c>
      <c r="C8" s="15" t="s">
        <v>24</v>
      </c>
      <c r="D8" s="16" t="s">
        <v>100</v>
      </c>
      <c r="E8" s="16" t="s">
        <v>101</v>
      </c>
      <c r="F8" s="17" t="s">
        <v>102</v>
      </c>
      <c r="G8" s="17" t="s">
        <v>77</v>
      </c>
      <c r="H8" s="17" t="s">
        <v>89</v>
      </c>
      <c r="I8" s="17" t="s">
        <v>79</v>
      </c>
      <c r="J8" s="13" t="n">
        <v>73</v>
      </c>
      <c r="K8" s="13" t="n">
        <v>18</v>
      </c>
      <c r="L8" s="13" t="s">
        <v>80</v>
      </c>
      <c r="M8" s="13" t="s">
        <v>96</v>
      </c>
      <c r="N8" s="13" t="s">
        <v>96</v>
      </c>
      <c r="O8" s="16" t="s">
        <v>82</v>
      </c>
      <c r="P8" s="16" t="s">
        <v>103</v>
      </c>
      <c r="Q8" s="13" t="s">
        <v>91</v>
      </c>
      <c r="R8" s="18" t="s">
        <v>85</v>
      </c>
      <c r="S8" s="18"/>
    </row>
    <row r="9" customFormat="false" ht="23.85" hidden="false" customHeight="false" outlineLevel="0" collapsed="false">
      <c r="A9" s="13" t="n">
        <v>5</v>
      </c>
      <c r="B9" s="14" t="s">
        <v>104</v>
      </c>
      <c r="C9" s="15" t="s">
        <v>24</v>
      </c>
      <c r="D9" s="16" t="s">
        <v>74</v>
      </c>
      <c r="E9" s="16" t="s">
        <v>101</v>
      </c>
      <c r="F9" s="17" t="s">
        <v>105</v>
      </c>
      <c r="G9" s="17" t="s">
        <v>77</v>
      </c>
      <c r="H9" s="17" t="s">
        <v>106</v>
      </c>
      <c r="I9" s="17" t="s">
        <v>79</v>
      </c>
      <c r="J9" s="13" t="n">
        <v>38</v>
      </c>
      <c r="K9" s="13" t="n">
        <v>12</v>
      </c>
      <c r="L9" s="13" t="s">
        <v>107</v>
      </c>
      <c r="M9" s="13" t="s">
        <v>81</v>
      </c>
      <c r="N9" s="13" t="s">
        <v>81</v>
      </c>
      <c r="O9" s="16" t="s">
        <v>82</v>
      </c>
      <c r="P9" s="16" t="s">
        <v>108</v>
      </c>
      <c r="Q9" s="13" t="s">
        <v>84</v>
      </c>
      <c r="R9" s="18" t="s">
        <v>85</v>
      </c>
      <c r="S9" s="18"/>
    </row>
    <row r="10" customFormat="false" ht="23.85" hidden="false" customHeight="false" outlineLevel="0" collapsed="false">
      <c r="A10" s="13" t="n">
        <v>6</v>
      </c>
      <c r="B10" s="14" t="s">
        <v>109</v>
      </c>
      <c r="C10" s="15" t="s">
        <v>24</v>
      </c>
      <c r="D10" s="16" t="s">
        <v>74</v>
      </c>
      <c r="E10" s="16" t="s">
        <v>110</v>
      </c>
      <c r="F10" s="17" t="s">
        <v>111</v>
      </c>
      <c r="G10" s="17" t="s">
        <v>77</v>
      </c>
      <c r="H10" s="17" t="s">
        <v>106</v>
      </c>
      <c r="I10" s="17" t="s">
        <v>79</v>
      </c>
      <c r="J10" s="13" t="n">
        <v>25</v>
      </c>
      <c r="K10" s="13" t="n">
        <v>8</v>
      </c>
      <c r="L10" s="13" t="s">
        <v>80</v>
      </c>
      <c r="M10" s="13" t="s">
        <v>81</v>
      </c>
      <c r="N10" s="13" t="s">
        <v>96</v>
      </c>
      <c r="O10" s="16" t="s">
        <v>82</v>
      </c>
      <c r="P10" s="16" t="s">
        <v>112</v>
      </c>
      <c r="Q10" s="13" t="s">
        <v>91</v>
      </c>
      <c r="R10" s="18" t="s">
        <v>85</v>
      </c>
      <c r="S10" s="18"/>
    </row>
    <row r="11" customFormat="false" ht="15" hidden="false" customHeight="false" outlineLevel="0" collapsed="false">
      <c r="A11" s="13" t="n">
        <v>7</v>
      </c>
      <c r="B11" s="14" t="s">
        <v>113</v>
      </c>
      <c r="C11" s="15" t="s">
        <v>24</v>
      </c>
      <c r="D11" s="16" t="s">
        <v>74</v>
      </c>
      <c r="E11" s="16" t="s">
        <v>114</v>
      </c>
      <c r="F11" s="17" t="s">
        <v>115</v>
      </c>
      <c r="G11" s="17" t="s">
        <v>77</v>
      </c>
      <c r="H11" s="17" t="s">
        <v>89</v>
      </c>
      <c r="I11" s="17" t="s">
        <v>79</v>
      </c>
      <c r="J11" s="13" t="n">
        <v>33</v>
      </c>
      <c r="K11" s="13" t="n">
        <v>4</v>
      </c>
      <c r="L11" s="13" t="s">
        <v>116</v>
      </c>
      <c r="M11" s="13" t="s">
        <v>81</v>
      </c>
      <c r="N11" s="13" t="s">
        <v>81</v>
      </c>
      <c r="O11" s="16" t="s">
        <v>82</v>
      </c>
      <c r="P11" s="16" t="s">
        <v>117</v>
      </c>
      <c r="Q11" s="13" t="s">
        <v>91</v>
      </c>
      <c r="R11" s="18" t="s">
        <v>85</v>
      </c>
      <c r="S11" s="18"/>
    </row>
    <row r="12" customFormat="false" ht="15" hidden="false" customHeight="false" outlineLevel="0" collapsed="false">
      <c r="A12" s="13" t="n">
        <v>8</v>
      </c>
      <c r="B12" s="14" t="s">
        <v>118</v>
      </c>
      <c r="C12" s="15" t="s">
        <v>24</v>
      </c>
      <c r="D12" s="16" t="s">
        <v>74</v>
      </c>
      <c r="E12" s="16" t="s">
        <v>119</v>
      </c>
      <c r="F12" s="17" t="s">
        <v>120</v>
      </c>
      <c r="G12" s="17" t="s">
        <v>77</v>
      </c>
      <c r="H12" s="17" t="s">
        <v>89</v>
      </c>
      <c r="I12" s="16" t="s">
        <v>121</v>
      </c>
      <c r="J12" s="13" t="n">
        <v>9</v>
      </c>
      <c r="K12" s="13" t="n">
        <v>2</v>
      </c>
      <c r="L12" s="13" t="s">
        <v>122</v>
      </c>
      <c r="M12" s="13" t="s">
        <v>96</v>
      </c>
      <c r="N12" s="13" t="s">
        <v>81</v>
      </c>
      <c r="O12" s="16" t="s">
        <v>82</v>
      </c>
      <c r="P12" s="16" t="s">
        <v>123</v>
      </c>
      <c r="Q12" s="13" t="s">
        <v>91</v>
      </c>
      <c r="R12" s="18" t="s">
        <v>85</v>
      </c>
      <c r="S12" s="18"/>
    </row>
    <row r="13" customFormat="false" ht="23.85" hidden="false" customHeight="false" outlineLevel="0" collapsed="false">
      <c r="A13" s="13" t="n">
        <v>9</v>
      </c>
      <c r="B13" s="14" t="s">
        <v>124</v>
      </c>
      <c r="C13" s="15" t="s">
        <v>24</v>
      </c>
      <c r="D13" s="16" t="s">
        <v>74</v>
      </c>
      <c r="E13" s="16" t="s">
        <v>101</v>
      </c>
      <c r="F13" s="17" t="s">
        <v>125</v>
      </c>
      <c r="G13" s="17" t="s">
        <v>77</v>
      </c>
      <c r="H13" s="17" t="s">
        <v>106</v>
      </c>
      <c r="I13" s="16" t="s">
        <v>121</v>
      </c>
      <c r="J13" s="13" t="n">
        <v>102</v>
      </c>
      <c r="K13" s="13" t="n">
        <v>13</v>
      </c>
      <c r="L13" s="13" t="s">
        <v>80</v>
      </c>
      <c r="M13" s="13" t="s">
        <v>81</v>
      </c>
      <c r="N13" s="13" t="s">
        <v>81</v>
      </c>
      <c r="O13" s="16" t="s">
        <v>126</v>
      </c>
      <c r="P13" s="16" t="s">
        <v>127</v>
      </c>
      <c r="Q13" s="13" t="s">
        <v>91</v>
      </c>
      <c r="R13" s="18" t="s">
        <v>85</v>
      </c>
      <c r="S13" s="18"/>
    </row>
    <row r="14" customFormat="false" ht="23.85" hidden="false" customHeight="false" outlineLevel="0" collapsed="false">
      <c r="A14" s="13" t="n">
        <v>10</v>
      </c>
      <c r="B14" s="14" t="s">
        <v>128</v>
      </c>
      <c r="C14" s="15" t="s">
        <v>24</v>
      </c>
      <c r="D14" s="16" t="s">
        <v>74</v>
      </c>
      <c r="E14" s="16" t="s">
        <v>129</v>
      </c>
      <c r="F14" s="17" t="s">
        <v>130</v>
      </c>
      <c r="G14" s="17" t="s">
        <v>77</v>
      </c>
      <c r="H14" s="17" t="s">
        <v>89</v>
      </c>
      <c r="I14" s="17" t="s">
        <v>79</v>
      </c>
      <c r="J14" s="13" t="n">
        <v>145</v>
      </c>
      <c r="K14" s="13" t="n">
        <v>28</v>
      </c>
      <c r="L14" s="13" t="s">
        <v>80</v>
      </c>
      <c r="M14" s="13" t="s">
        <v>81</v>
      </c>
      <c r="N14" s="13" t="s">
        <v>81</v>
      </c>
      <c r="O14" s="16" t="s">
        <v>82</v>
      </c>
      <c r="P14" s="16" t="s">
        <v>131</v>
      </c>
      <c r="Q14" s="13" t="s">
        <v>98</v>
      </c>
      <c r="R14" s="18" t="s">
        <v>85</v>
      </c>
      <c r="S14" s="18"/>
    </row>
    <row r="15" customFormat="false" ht="15" hidden="false" customHeight="false" outlineLevel="0" collapsed="false">
      <c r="A15" s="13" t="n">
        <v>11</v>
      </c>
      <c r="B15" s="14" t="s">
        <v>132</v>
      </c>
      <c r="C15" s="15" t="s">
        <v>24</v>
      </c>
      <c r="D15" s="16" t="s">
        <v>74</v>
      </c>
      <c r="E15" s="16" t="s">
        <v>133</v>
      </c>
      <c r="F15" s="17" t="s">
        <v>134</v>
      </c>
      <c r="G15" s="17" t="s">
        <v>77</v>
      </c>
      <c r="H15" s="17" t="s">
        <v>78</v>
      </c>
      <c r="I15" s="17" t="s">
        <v>79</v>
      </c>
      <c r="J15" s="13" t="n">
        <v>44</v>
      </c>
      <c r="K15" s="13" t="n">
        <v>18</v>
      </c>
      <c r="L15" s="13" t="s">
        <v>107</v>
      </c>
      <c r="M15" s="13" t="s">
        <v>81</v>
      </c>
      <c r="N15" s="13" t="s">
        <v>81</v>
      </c>
      <c r="O15" s="16" t="s">
        <v>82</v>
      </c>
      <c r="P15" s="16" t="s">
        <v>135</v>
      </c>
      <c r="Q15" s="13" t="s">
        <v>91</v>
      </c>
      <c r="R15" s="18" t="s">
        <v>85</v>
      </c>
      <c r="S15" s="18"/>
    </row>
    <row r="16" customFormat="false" ht="15" hidden="false" customHeight="false" outlineLevel="0" collapsed="false">
      <c r="A16" s="13" t="n">
        <v>12</v>
      </c>
      <c r="B16" s="14" t="s">
        <v>136</v>
      </c>
      <c r="C16" s="15" t="s">
        <v>24</v>
      </c>
      <c r="D16" s="16" t="s">
        <v>74</v>
      </c>
      <c r="E16" s="16" t="s">
        <v>119</v>
      </c>
      <c r="F16" s="17" t="s">
        <v>137</v>
      </c>
      <c r="G16" s="17" t="s">
        <v>77</v>
      </c>
      <c r="H16" s="17" t="s">
        <v>89</v>
      </c>
      <c r="I16" s="17" t="s">
        <v>79</v>
      </c>
      <c r="J16" s="13" t="n">
        <v>447</v>
      </c>
      <c r="K16" s="13" t="n">
        <v>69</v>
      </c>
      <c r="L16" s="13" t="s">
        <v>80</v>
      </c>
      <c r="M16" s="13" t="s">
        <v>96</v>
      </c>
      <c r="N16" s="13" t="s">
        <v>96</v>
      </c>
      <c r="O16" s="16" t="s">
        <v>82</v>
      </c>
      <c r="P16" s="16" t="s">
        <v>138</v>
      </c>
      <c r="Q16" s="13" t="s">
        <v>98</v>
      </c>
      <c r="R16" s="18" t="s">
        <v>85</v>
      </c>
      <c r="S16" s="18"/>
    </row>
    <row r="17" customFormat="false" ht="15" hidden="false" customHeight="false" outlineLevel="0" collapsed="false">
      <c r="A17" s="13" t="n">
        <v>13</v>
      </c>
      <c r="B17" s="14" t="s">
        <v>139</v>
      </c>
      <c r="C17" s="15" t="s">
        <v>24</v>
      </c>
      <c r="D17" s="16" t="s">
        <v>74</v>
      </c>
      <c r="E17" s="16" t="s">
        <v>140</v>
      </c>
      <c r="F17" s="17" t="s">
        <v>141</v>
      </c>
      <c r="G17" s="17" t="s">
        <v>77</v>
      </c>
      <c r="H17" s="17" t="s">
        <v>106</v>
      </c>
      <c r="I17" s="17" t="s">
        <v>79</v>
      </c>
      <c r="J17" s="13" t="n">
        <v>241</v>
      </c>
      <c r="K17" s="13" t="n">
        <v>15</v>
      </c>
      <c r="L17" s="13" t="s">
        <v>80</v>
      </c>
      <c r="M17" s="13" t="s">
        <v>81</v>
      </c>
      <c r="N17" s="13" t="s">
        <v>81</v>
      </c>
      <c r="O17" s="16" t="s">
        <v>82</v>
      </c>
      <c r="P17" s="16" t="s">
        <v>142</v>
      </c>
      <c r="Q17" s="13" t="s">
        <v>84</v>
      </c>
      <c r="R17" s="18" t="s">
        <v>85</v>
      </c>
      <c r="S17" s="18"/>
    </row>
    <row r="18" customFormat="false" ht="23.85" hidden="false" customHeight="false" outlineLevel="0" collapsed="false">
      <c r="A18" s="13" t="n">
        <v>14</v>
      </c>
      <c r="B18" s="14" t="s">
        <v>143</v>
      </c>
      <c r="C18" s="15" t="s">
        <v>24</v>
      </c>
      <c r="D18" s="16" t="s">
        <v>74</v>
      </c>
      <c r="E18" s="16" t="s">
        <v>119</v>
      </c>
      <c r="F18" s="17" t="s">
        <v>144</v>
      </c>
      <c r="G18" s="17" t="s">
        <v>77</v>
      </c>
      <c r="H18" s="17" t="s">
        <v>89</v>
      </c>
      <c r="I18" s="17" t="s">
        <v>79</v>
      </c>
      <c r="J18" s="13" t="n">
        <v>169</v>
      </c>
      <c r="K18" s="13" t="n">
        <v>27</v>
      </c>
      <c r="L18" s="13" t="s">
        <v>107</v>
      </c>
      <c r="M18" s="13" t="s">
        <v>81</v>
      </c>
      <c r="N18" s="13" t="s">
        <v>81</v>
      </c>
      <c r="O18" s="16" t="s">
        <v>82</v>
      </c>
      <c r="P18" s="16" t="s">
        <v>145</v>
      </c>
      <c r="Q18" s="13" t="s">
        <v>91</v>
      </c>
      <c r="R18" s="18" t="s">
        <v>85</v>
      </c>
      <c r="S18" s="18"/>
    </row>
    <row r="19" customFormat="false" ht="23.85" hidden="false" customHeight="false" outlineLevel="0" collapsed="false">
      <c r="A19" s="13" t="n">
        <v>15</v>
      </c>
      <c r="B19" s="14" t="s">
        <v>146</v>
      </c>
      <c r="C19" s="15" t="s">
        <v>24</v>
      </c>
      <c r="D19" s="16" t="s">
        <v>74</v>
      </c>
      <c r="E19" s="16" t="s">
        <v>147</v>
      </c>
      <c r="F19" s="17" t="s">
        <v>148</v>
      </c>
      <c r="G19" s="17" t="s">
        <v>77</v>
      </c>
      <c r="H19" s="17" t="s">
        <v>89</v>
      </c>
      <c r="I19" s="17" t="s">
        <v>79</v>
      </c>
      <c r="J19" s="13" t="n">
        <v>133</v>
      </c>
      <c r="K19" s="13" t="n">
        <v>9</v>
      </c>
      <c r="L19" s="13" t="s">
        <v>149</v>
      </c>
      <c r="M19" s="13" t="s">
        <v>96</v>
      </c>
      <c r="N19" s="13" t="s">
        <v>81</v>
      </c>
      <c r="O19" s="16" t="s">
        <v>82</v>
      </c>
      <c r="P19" s="16" t="s">
        <v>150</v>
      </c>
      <c r="Q19" s="13" t="s">
        <v>84</v>
      </c>
      <c r="R19" s="18" t="s">
        <v>85</v>
      </c>
      <c r="S19" s="18"/>
    </row>
    <row r="20" customFormat="false" ht="23.85" hidden="false" customHeight="false" outlineLevel="0" collapsed="false">
      <c r="A20" s="13" t="n">
        <v>16</v>
      </c>
      <c r="B20" s="14" t="s">
        <v>151</v>
      </c>
      <c r="C20" s="15" t="s">
        <v>24</v>
      </c>
      <c r="D20" s="16" t="s">
        <v>74</v>
      </c>
      <c r="E20" s="16" t="s">
        <v>152</v>
      </c>
      <c r="F20" s="17" t="s">
        <v>153</v>
      </c>
      <c r="G20" s="17" t="s">
        <v>77</v>
      </c>
      <c r="H20" s="17" t="s">
        <v>89</v>
      </c>
      <c r="I20" s="16" t="s">
        <v>121</v>
      </c>
      <c r="J20" s="13" t="n">
        <v>9</v>
      </c>
      <c r="K20" s="13" t="n">
        <v>3</v>
      </c>
      <c r="L20" s="13" t="s">
        <v>107</v>
      </c>
      <c r="M20" s="13" t="s">
        <v>81</v>
      </c>
      <c r="N20" s="13" t="s">
        <v>81</v>
      </c>
      <c r="O20" s="16" t="s">
        <v>82</v>
      </c>
      <c r="P20" s="16" t="s">
        <v>154</v>
      </c>
      <c r="Q20" s="13" t="s">
        <v>91</v>
      </c>
      <c r="R20" s="18" t="s">
        <v>85</v>
      </c>
      <c r="S20" s="18"/>
    </row>
    <row r="21" customFormat="false" ht="15" hidden="false" customHeight="false" outlineLevel="0" collapsed="false">
      <c r="A21" s="13" t="n">
        <v>17</v>
      </c>
      <c r="B21" s="14" t="s">
        <v>155</v>
      </c>
      <c r="C21" s="15" t="s">
        <v>24</v>
      </c>
      <c r="D21" s="16" t="s">
        <v>74</v>
      </c>
      <c r="E21" s="16" t="s">
        <v>101</v>
      </c>
      <c r="F21" s="17" t="s">
        <v>156</v>
      </c>
      <c r="G21" s="17" t="s">
        <v>77</v>
      </c>
      <c r="H21" s="17" t="s">
        <v>89</v>
      </c>
      <c r="I21" s="17" t="s">
        <v>79</v>
      </c>
      <c r="J21" s="13" t="n">
        <v>7</v>
      </c>
      <c r="K21" s="13" t="n">
        <v>3</v>
      </c>
      <c r="L21" s="13" t="s">
        <v>80</v>
      </c>
      <c r="M21" s="13" t="s">
        <v>96</v>
      </c>
      <c r="N21" s="13" t="s">
        <v>96</v>
      </c>
      <c r="O21" s="16" t="s">
        <v>82</v>
      </c>
      <c r="P21" s="16" t="s">
        <v>157</v>
      </c>
      <c r="Q21" s="13" t="s">
        <v>91</v>
      </c>
      <c r="R21" s="18" t="s">
        <v>85</v>
      </c>
      <c r="S21" s="18"/>
    </row>
    <row r="22" customFormat="false" ht="23.85" hidden="false" customHeight="false" outlineLevel="0" collapsed="false">
      <c r="A22" s="13" t="n">
        <v>18</v>
      </c>
      <c r="B22" s="14" t="s">
        <v>158</v>
      </c>
      <c r="C22" s="15" t="s">
        <v>24</v>
      </c>
      <c r="D22" s="16" t="s">
        <v>74</v>
      </c>
      <c r="E22" s="16" t="s">
        <v>159</v>
      </c>
      <c r="F22" s="17" t="s">
        <v>160</v>
      </c>
      <c r="G22" s="17" t="s">
        <v>77</v>
      </c>
      <c r="H22" s="17" t="s">
        <v>78</v>
      </c>
      <c r="I22" s="16" t="s">
        <v>121</v>
      </c>
      <c r="J22" s="13" t="n">
        <v>180</v>
      </c>
      <c r="K22" s="13" t="n">
        <v>26</v>
      </c>
      <c r="L22" s="13" t="s">
        <v>80</v>
      </c>
      <c r="M22" s="13" t="s">
        <v>81</v>
      </c>
      <c r="N22" s="13" t="s">
        <v>96</v>
      </c>
      <c r="O22" s="16" t="s">
        <v>82</v>
      </c>
      <c r="P22" s="16" t="s">
        <v>161</v>
      </c>
      <c r="Q22" s="13" t="s">
        <v>84</v>
      </c>
      <c r="R22" s="18" t="s">
        <v>85</v>
      </c>
      <c r="S22" s="18"/>
    </row>
    <row r="23" customFormat="false" ht="23.85" hidden="false" customHeight="false" outlineLevel="0" collapsed="false">
      <c r="A23" s="13" t="n">
        <v>19</v>
      </c>
      <c r="B23" s="14" t="s">
        <v>162</v>
      </c>
      <c r="C23" s="15" t="s">
        <v>24</v>
      </c>
      <c r="D23" s="16" t="s">
        <v>74</v>
      </c>
      <c r="E23" s="16" t="s">
        <v>163</v>
      </c>
      <c r="F23" s="17" t="s">
        <v>164</v>
      </c>
      <c r="G23" s="17" t="s">
        <v>77</v>
      </c>
      <c r="H23" s="17" t="s">
        <v>89</v>
      </c>
      <c r="I23" s="16" t="s">
        <v>121</v>
      </c>
      <c r="J23" s="13" t="n">
        <v>126</v>
      </c>
      <c r="K23" s="13" t="n">
        <v>21</v>
      </c>
      <c r="L23" s="13" t="s">
        <v>80</v>
      </c>
      <c r="M23" s="13" t="s">
        <v>81</v>
      </c>
      <c r="N23" s="13" t="s">
        <v>96</v>
      </c>
      <c r="O23" s="16" t="s">
        <v>82</v>
      </c>
      <c r="P23" s="16" t="s">
        <v>165</v>
      </c>
      <c r="Q23" s="13" t="s">
        <v>98</v>
      </c>
      <c r="R23" s="18" t="s">
        <v>85</v>
      </c>
      <c r="S23" s="18"/>
    </row>
    <row r="24" customFormat="false" ht="15" hidden="false" customHeight="false" outlineLevel="0" collapsed="false">
      <c r="A24" s="13" t="n">
        <v>20</v>
      </c>
      <c r="B24" s="14" t="s">
        <v>166</v>
      </c>
      <c r="C24" s="15" t="s">
        <v>24</v>
      </c>
      <c r="D24" s="16" t="s">
        <v>74</v>
      </c>
      <c r="E24" s="16" t="s">
        <v>167</v>
      </c>
      <c r="F24" s="17" t="s">
        <v>168</v>
      </c>
      <c r="G24" s="17" t="s">
        <v>77</v>
      </c>
      <c r="H24" s="17" t="s">
        <v>89</v>
      </c>
      <c r="I24" s="16" t="s">
        <v>121</v>
      </c>
      <c r="J24" s="13" t="n">
        <v>93</v>
      </c>
      <c r="K24" s="13" t="n">
        <v>13</v>
      </c>
      <c r="L24" s="13" t="s">
        <v>107</v>
      </c>
      <c r="M24" s="13" t="s">
        <v>96</v>
      </c>
      <c r="N24" s="13" t="s">
        <v>81</v>
      </c>
      <c r="O24" s="16" t="s">
        <v>82</v>
      </c>
      <c r="P24" s="16" t="s">
        <v>169</v>
      </c>
      <c r="Q24" s="13" t="s">
        <v>91</v>
      </c>
      <c r="R24" s="18" t="s">
        <v>85</v>
      </c>
      <c r="S24" s="18"/>
    </row>
    <row r="25" customFormat="false" ht="15" hidden="false" customHeight="false" outlineLevel="0" collapsed="false">
      <c r="A25" s="13" t="n">
        <v>21</v>
      </c>
      <c r="B25" s="14" t="s">
        <v>170</v>
      </c>
      <c r="C25" s="15" t="s">
        <v>24</v>
      </c>
      <c r="D25" s="16" t="s">
        <v>74</v>
      </c>
      <c r="E25" s="16" t="s">
        <v>171</v>
      </c>
      <c r="F25" s="17" t="s">
        <v>172</v>
      </c>
      <c r="G25" s="17" t="s">
        <v>77</v>
      </c>
      <c r="H25" s="17" t="s">
        <v>89</v>
      </c>
      <c r="I25" s="16" t="s">
        <v>121</v>
      </c>
      <c r="J25" s="13" t="n">
        <v>37</v>
      </c>
      <c r="K25" s="13" t="n">
        <v>13</v>
      </c>
      <c r="L25" s="13" t="s">
        <v>107</v>
      </c>
      <c r="M25" s="13" t="s">
        <v>81</v>
      </c>
      <c r="N25" s="13" t="s">
        <v>96</v>
      </c>
      <c r="O25" s="16" t="s">
        <v>82</v>
      </c>
      <c r="P25" s="16" t="s">
        <v>173</v>
      </c>
      <c r="Q25" s="13" t="s">
        <v>91</v>
      </c>
      <c r="R25" s="18" t="s">
        <v>85</v>
      </c>
      <c r="S25" s="18"/>
    </row>
    <row r="26" customFormat="false" ht="23.85" hidden="false" customHeight="false" outlineLevel="0" collapsed="false">
      <c r="A26" s="13" t="n">
        <v>22</v>
      </c>
      <c r="B26" s="14" t="s">
        <v>174</v>
      </c>
      <c r="C26" s="15" t="s">
        <v>24</v>
      </c>
      <c r="D26" s="16" t="s">
        <v>74</v>
      </c>
      <c r="E26" s="16" t="s">
        <v>175</v>
      </c>
      <c r="F26" s="17" t="s">
        <v>176</v>
      </c>
      <c r="G26" s="17" t="s">
        <v>77</v>
      </c>
      <c r="H26" s="17" t="s">
        <v>89</v>
      </c>
      <c r="I26" s="17" t="s">
        <v>177</v>
      </c>
      <c r="J26" s="13" t="n">
        <v>564</v>
      </c>
      <c r="K26" s="13" t="n">
        <v>25</v>
      </c>
      <c r="L26" s="13" t="s">
        <v>80</v>
      </c>
      <c r="M26" s="13" t="s">
        <v>81</v>
      </c>
      <c r="N26" s="13" t="s">
        <v>96</v>
      </c>
      <c r="O26" s="16" t="s">
        <v>82</v>
      </c>
      <c r="P26" s="16" t="s">
        <v>178</v>
      </c>
      <c r="Q26" s="13" t="s">
        <v>91</v>
      </c>
      <c r="R26" s="18" t="s">
        <v>85</v>
      </c>
      <c r="S26" s="18"/>
    </row>
    <row r="27" customFormat="false" ht="15" hidden="false" customHeight="false" outlineLevel="0" collapsed="false">
      <c r="A27" s="13" t="n">
        <v>23</v>
      </c>
      <c r="B27" s="14" t="s">
        <v>179</v>
      </c>
      <c r="C27" s="15" t="s">
        <v>24</v>
      </c>
      <c r="D27" s="16" t="s">
        <v>74</v>
      </c>
      <c r="E27" s="16" t="s">
        <v>180</v>
      </c>
      <c r="F27" s="17" t="s">
        <v>181</v>
      </c>
      <c r="G27" s="17" t="s">
        <v>77</v>
      </c>
      <c r="H27" s="17" t="s">
        <v>89</v>
      </c>
      <c r="I27" s="17" t="s">
        <v>79</v>
      </c>
      <c r="J27" s="13" t="n">
        <v>396</v>
      </c>
      <c r="K27" s="13" t="n">
        <v>36</v>
      </c>
      <c r="L27" s="13" t="s">
        <v>80</v>
      </c>
      <c r="M27" s="13" t="s">
        <v>81</v>
      </c>
      <c r="N27" s="13" t="s">
        <v>81</v>
      </c>
      <c r="O27" s="16" t="s">
        <v>82</v>
      </c>
      <c r="P27" s="16" t="s">
        <v>182</v>
      </c>
      <c r="Q27" s="13" t="s">
        <v>91</v>
      </c>
      <c r="R27" s="18" t="s">
        <v>85</v>
      </c>
      <c r="S27" s="18"/>
    </row>
    <row r="28" customFormat="false" ht="15" hidden="false" customHeight="false" outlineLevel="0" collapsed="false">
      <c r="A28" s="13" t="n">
        <v>24</v>
      </c>
      <c r="B28" s="14" t="s">
        <v>183</v>
      </c>
      <c r="C28" s="15" t="s">
        <v>24</v>
      </c>
      <c r="D28" s="16" t="s">
        <v>74</v>
      </c>
      <c r="E28" s="16" t="s">
        <v>184</v>
      </c>
      <c r="F28" s="17" t="s">
        <v>185</v>
      </c>
      <c r="G28" s="17" t="s">
        <v>77</v>
      </c>
      <c r="H28" s="17" t="s">
        <v>78</v>
      </c>
      <c r="I28" s="16" t="s">
        <v>121</v>
      </c>
      <c r="J28" s="13" t="n">
        <v>180</v>
      </c>
      <c r="K28" s="13" t="n">
        <v>17</v>
      </c>
      <c r="L28" s="13" t="s">
        <v>80</v>
      </c>
      <c r="M28" s="13" t="s">
        <v>81</v>
      </c>
      <c r="N28" s="13" t="s">
        <v>81</v>
      </c>
      <c r="O28" s="16" t="s">
        <v>82</v>
      </c>
      <c r="P28" s="16" t="s">
        <v>186</v>
      </c>
      <c r="Q28" s="13" t="s">
        <v>98</v>
      </c>
      <c r="R28" s="18" t="s">
        <v>85</v>
      </c>
      <c r="S28" s="18"/>
    </row>
    <row r="29" customFormat="false" ht="15" hidden="false" customHeight="false" outlineLevel="0" collapsed="false">
      <c r="A29" s="13" t="n">
        <v>25</v>
      </c>
      <c r="B29" s="14" t="s">
        <v>187</v>
      </c>
      <c r="C29" s="15" t="s">
        <v>24</v>
      </c>
      <c r="D29" s="16" t="s">
        <v>74</v>
      </c>
      <c r="E29" s="16" t="s">
        <v>119</v>
      </c>
      <c r="F29" s="17" t="s">
        <v>188</v>
      </c>
      <c r="G29" s="17" t="s">
        <v>77</v>
      </c>
      <c r="H29" s="17" t="s">
        <v>89</v>
      </c>
      <c r="I29" s="16" t="s">
        <v>121</v>
      </c>
      <c r="J29" s="13" t="n">
        <v>79</v>
      </c>
      <c r="K29" s="13" t="n">
        <v>10</v>
      </c>
      <c r="L29" s="13" t="s">
        <v>80</v>
      </c>
      <c r="M29" s="13" t="s">
        <v>81</v>
      </c>
      <c r="N29" s="13" t="s">
        <v>81</v>
      </c>
      <c r="O29" s="16" t="s">
        <v>82</v>
      </c>
      <c r="P29" s="16" t="s">
        <v>189</v>
      </c>
      <c r="Q29" s="13" t="s">
        <v>84</v>
      </c>
      <c r="R29" s="18" t="s">
        <v>85</v>
      </c>
      <c r="S29" s="18"/>
    </row>
    <row r="30" customFormat="false" ht="15" hidden="false" customHeight="false" outlineLevel="0" collapsed="false">
      <c r="A30" s="13" t="n">
        <v>26</v>
      </c>
      <c r="B30" s="14" t="s">
        <v>190</v>
      </c>
      <c r="C30" s="15" t="s">
        <v>24</v>
      </c>
      <c r="D30" s="16" t="s">
        <v>74</v>
      </c>
      <c r="E30" s="16" t="s">
        <v>191</v>
      </c>
      <c r="F30" s="17" t="s">
        <v>192</v>
      </c>
      <c r="G30" s="17" t="s">
        <v>77</v>
      </c>
      <c r="H30" s="17" t="s">
        <v>89</v>
      </c>
      <c r="I30" s="17" t="s">
        <v>79</v>
      </c>
      <c r="J30" s="13" t="n">
        <v>104</v>
      </c>
      <c r="K30" s="13" t="n">
        <v>31</v>
      </c>
      <c r="L30" s="13" t="s">
        <v>107</v>
      </c>
      <c r="M30" s="13" t="s">
        <v>81</v>
      </c>
      <c r="N30" s="13" t="s">
        <v>81</v>
      </c>
      <c r="O30" s="16" t="s">
        <v>82</v>
      </c>
      <c r="P30" s="16" t="s">
        <v>193</v>
      </c>
      <c r="Q30" s="13" t="s">
        <v>98</v>
      </c>
      <c r="R30" s="18" t="s">
        <v>85</v>
      </c>
      <c r="S30" s="18"/>
    </row>
    <row r="31" customFormat="false" ht="23.85" hidden="false" customHeight="false" outlineLevel="0" collapsed="false">
      <c r="A31" s="13" t="n">
        <v>27</v>
      </c>
      <c r="B31" s="14" t="s">
        <v>194</v>
      </c>
      <c r="C31" s="15" t="s">
        <v>24</v>
      </c>
      <c r="D31" s="16" t="s">
        <v>74</v>
      </c>
      <c r="E31" s="16" t="s">
        <v>195</v>
      </c>
      <c r="F31" s="17" t="s">
        <v>196</v>
      </c>
      <c r="G31" s="17" t="s">
        <v>77</v>
      </c>
      <c r="H31" s="17" t="s">
        <v>89</v>
      </c>
      <c r="I31" s="16" t="s">
        <v>121</v>
      </c>
      <c r="J31" s="13" t="n">
        <v>589</v>
      </c>
      <c r="K31" s="13" t="n">
        <v>38</v>
      </c>
      <c r="L31" s="13" t="s">
        <v>80</v>
      </c>
      <c r="M31" s="13" t="s">
        <v>81</v>
      </c>
      <c r="N31" s="13" t="s">
        <v>96</v>
      </c>
      <c r="O31" s="16" t="s">
        <v>82</v>
      </c>
      <c r="P31" s="16" t="s">
        <v>197</v>
      </c>
      <c r="Q31" s="13" t="s">
        <v>84</v>
      </c>
      <c r="R31" s="18" t="s">
        <v>85</v>
      </c>
      <c r="S31" s="18"/>
    </row>
    <row r="32" customFormat="false" ht="15" hidden="false" customHeight="false" outlineLevel="0" collapsed="false">
      <c r="A32" s="13" t="n">
        <v>28</v>
      </c>
      <c r="B32" s="14" t="s">
        <v>198</v>
      </c>
      <c r="C32" s="15" t="s">
        <v>24</v>
      </c>
      <c r="D32" s="16" t="s">
        <v>74</v>
      </c>
      <c r="E32" s="16" t="s">
        <v>133</v>
      </c>
      <c r="F32" s="17" t="s">
        <v>199</v>
      </c>
      <c r="G32" s="17" t="s">
        <v>77</v>
      </c>
      <c r="H32" s="17" t="s">
        <v>89</v>
      </c>
      <c r="I32" s="17" t="s">
        <v>200</v>
      </c>
      <c r="J32" s="13" t="n">
        <v>358</v>
      </c>
      <c r="K32" s="13" t="n">
        <v>36</v>
      </c>
      <c r="L32" s="13" t="s">
        <v>80</v>
      </c>
      <c r="M32" s="13" t="s">
        <v>81</v>
      </c>
      <c r="N32" s="13" t="s">
        <v>96</v>
      </c>
      <c r="O32" s="16" t="s">
        <v>82</v>
      </c>
      <c r="P32" s="16" t="s">
        <v>201</v>
      </c>
      <c r="Q32" s="13" t="s">
        <v>202</v>
      </c>
      <c r="R32" s="18" t="s">
        <v>85</v>
      </c>
      <c r="S32" s="18"/>
    </row>
    <row r="33" customFormat="false" ht="15" hidden="false" customHeight="false" outlineLevel="0" collapsed="false">
      <c r="A33" s="13" t="n">
        <v>29</v>
      </c>
      <c r="B33" s="14" t="s">
        <v>203</v>
      </c>
      <c r="C33" s="15" t="s">
        <v>24</v>
      </c>
      <c r="D33" s="16" t="s">
        <v>74</v>
      </c>
      <c r="E33" s="16" t="s">
        <v>204</v>
      </c>
      <c r="F33" s="17" t="s">
        <v>205</v>
      </c>
      <c r="G33" s="17" t="s">
        <v>77</v>
      </c>
      <c r="H33" s="17" t="s">
        <v>89</v>
      </c>
      <c r="I33" s="17" t="s">
        <v>79</v>
      </c>
      <c r="J33" s="13" t="n">
        <v>99</v>
      </c>
      <c r="K33" s="13" t="n">
        <v>13</v>
      </c>
      <c r="L33" s="13" t="s">
        <v>80</v>
      </c>
      <c r="M33" s="13" t="s">
        <v>81</v>
      </c>
      <c r="N33" s="13" t="s">
        <v>81</v>
      </c>
      <c r="O33" s="16" t="s">
        <v>82</v>
      </c>
      <c r="P33" s="16" t="s">
        <v>206</v>
      </c>
      <c r="Q33" s="13" t="s">
        <v>202</v>
      </c>
      <c r="R33" s="18" t="s">
        <v>85</v>
      </c>
      <c r="S33" s="18"/>
    </row>
    <row r="34" customFormat="false" ht="15" hidden="false" customHeight="false" outlineLevel="0" collapsed="false">
      <c r="A34" s="13" t="n">
        <v>30</v>
      </c>
      <c r="B34" s="14" t="s">
        <v>207</v>
      </c>
      <c r="C34" s="15" t="s">
        <v>24</v>
      </c>
      <c r="D34" s="16" t="s">
        <v>74</v>
      </c>
      <c r="E34" s="16" t="s">
        <v>208</v>
      </c>
      <c r="F34" s="17" t="s">
        <v>209</v>
      </c>
      <c r="G34" s="17" t="s">
        <v>77</v>
      </c>
      <c r="H34" s="17" t="s">
        <v>89</v>
      </c>
      <c r="I34" s="17" t="s">
        <v>79</v>
      </c>
      <c r="J34" s="13" t="n">
        <v>44</v>
      </c>
      <c r="K34" s="13" t="n">
        <v>6</v>
      </c>
      <c r="L34" s="13" t="s">
        <v>210</v>
      </c>
      <c r="M34" s="13" t="s">
        <v>81</v>
      </c>
      <c r="N34" s="13" t="s">
        <v>96</v>
      </c>
      <c r="O34" s="16" t="s">
        <v>82</v>
      </c>
      <c r="P34" s="16" t="s">
        <v>211</v>
      </c>
      <c r="Q34" s="13" t="s">
        <v>202</v>
      </c>
      <c r="R34" s="18" t="s">
        <v>85</v>
      </c>
      <c r="S34" s="18"/>
    </row>
    <row r="35" customFormat="false" ht="15" hidden="false" customHeight="false" outlineLevel="0" collapsed="false">
      <c r="A35" s="13" t="n">
        <v>31</v>
      </c>
      <c r="B35" s="14" t="s">
        <v>212</v>
      </c>
      <c r="C35" s="15" t="s">
        <v>24</v>
      </c>
      <c r="D35" s="16" t="s">
        <v>74</v>
      </c>
      <c r="E35" s="16" t="s">
        <v>213</v>
      </c>
      <c r="F35" s="17" t="s">
        <v>214</v>
      </c>
      <c r="G35" s="17" t="s">
        <v>77</v>
      </c>
      <c r="H35" s="17" t="s">
        <v>106</v>
      </c>
      <c r="I35" s="16" t="s">
        <v>121</v>
      </c>
      <c r="J35" s="13" t="n">
        <v>57</v>
      </c>
      <c r="K35" s="13" t="n">
        <v>25</v>
      </c>
      <c r="L35" s="13" t="s">
        <v>215</v>
      </c>
      <c r="M35" s="13" t="s">
        <v>81</v>
      </c>
      <c r="N35" s="13" t="s">
        <v>81</v>
      </c>
      <c r="O35" s="16" t="s">
        <v>82</v>
      </c>
      <c r="P35" s="16" t="s">
        <v>216</v>
      </c>
      <c r="Q35" s="13" t="s">
        <v>91</v>
      </c>
      <c r="R35" s="18" t="s">
        <v>85</v>
      </c>
      <c r="S35" s="18"/>
    </row>
    <row r="36" customFormat="false" ht="23.85" hidden="false" customHeight="false" outlineLevel="0" collapsed="false">
      <c r="A36" s="13" t="n">
        <v>32</v>
      </c>
      <c r="B36" s="14" t="s">
        <v>217</v>
      </c>
      <c r="C36" s="15" t="s">
        <v>24</v>
      </c>
      <c r="D36" s="16" t="s">
        <v>218</v>
      </c>
      <c r="E36" s="16" t="s">
        <v>159</v>
      </c>
      <c r="F36" s="17" t="s">
        <v>219</v>
      </c>
      <c r="G36" s="17" t="s">
        <v>77</v>
      </c>
      <c r="H36" s="17" t="s">
        <v>106</v>
      </c>
      <c r="I36" s="16" t="s">
        <v>121</v>
      </c>
      <c r="J36" s="13" t="n">
        <v>329</v>
      </c>
      <c r="K36" s="13" t="n">
        <v>116</v>
      </c>
      <c r="L36" s="13" t="s">
        <v>80</v>
      </c>
      <c r="M36" s="13" t="s">
        <v>81</v>
      </c>
      <c r="N36" s="13" t="s">
        <v>96</v>
      </c>
      <c r="O36" s="16" t="s">
        <v>82</v>
      </c>
      <c r="P36" s="16" t="s">
        <v>220</v>
      </c>
      <c r="Q36" s="13" t="s">
        <v>91</v>
      </c>
      <c r="R36" s="18" t="s">
        <v>85</v>
      </c>
      <c r="S36" s="18"/>
    </row>
    <row r="37" customFormat="false" ht="15" hidden="false" customHeight="false" outlineLevel="0" collapsed="false">
      <c r="A37" s="13" t="n">
        <v>33</v>
      </c>
      <c r="B37" s="14" t="s">
        <v>221</v>
      </c>
      <c r="C37" s="15" t="s">
        <v>24</v>
      </c>
      <c r="D37" s="16" t="s">
        <v>218</v>
      </c>
      <c r="E37" s="16" t="s">
        <v>222</v>
      </c>
      <c r="F37" s="17" t="s">
        <v>223</v>
      </c>
      <c r="G37" s="17" t="s">
        <v>77</v>
      </c>
      <c r="H37" s="17" t="s">
        <v>89</v>
      </c>
      <c r="I37" s="16" t="s">
        <v>121</v>
      </c>
      <c r="J37" s="13" t="n">
        <v>10</v>
      </c>
      <c r="K37" s="13" t="n">
        <v>6</v>
      </c>
      <c r="L37" s="13" t="s">
        <v>80</v>
      </c>
      <c r="M37" s="13" t="s">
        <v>81</v>
      </c>
      <c r="N37" s="13" t="s">
        <v>96</v>
      </c>
      <c r="O37" s="16" t="s">
        <v>82</v>
      </c>
      <c r="P37" s="16" t="s">
        <v>224</v>
      </c>
      <c r="Q37" s="13" t="s">
        <v>91</v>
      </c>
      <c r="R37" s="18" t="s">
        <v>85</v>
      </c>
      <c r="S37" s="18"/>
    </row>
    <row r="38" customFormat="false" ht="23.85" hidden="false" customHeight="false" outlineLevel="0" collapsed="false">
      <c r="A38" s="13" t="n">
        <v>34</v>
      </c>
      <c r="B38" s="14" t="s">
        <v>225</v>
      </c>
      <c r="C38" s="19" t="s">
        <v>26</v>
      </c>
      <c r="D38" s="16" t="s">
        <v>226</v>
      </c>
      <c r="E38" s="16" t="s">
        <v>227</v>
      </c>
      <c r="F38" s="17" t="s">
        <v>228</v>
      </c>
      <c r="G38" s="17" t="s">
        <v>77</v>
      </c>
      <c r="H38" s="17" t="s">
        <v>89</v>
      </c>
      <c r="I38" s="17" t="s">
        <v>79</v>
      </c>
      <c r="J38" s="13" t="n">
        <v>92</v>
      </c>
      <c r="K38" s="13" t="n">
        <v>12</v>
      </c>
      <c r="L38" s="13" t="s">
        <v>80</v>
      </c>
      <c r="M38" s="13" t="s">
        <v>81</v>
      </c>
      <c r="N38" s="13" t="s">
        <v>96</v>
      </c>
      <c r="O38" s="16" t="s">
        <v>82</v>
      </c>
      <c r="P38" s="16" t="s">
        <v>229</v>
      </c>
      <c r="Q38" s="13" t="s">
        <v>91</v>
      </c>
      <c r="R38" s="18" t="s">
        <v>85</v>
      </c>
      <c r="S38" s="18"/>
    </row>
    <row r="39" customFormat="false" ht="15" hidden="false" customHeight="false" outlineLevel="0" collapsed="false">
      <c r="A39" s="13" t="n">
        <v>35</v>
      </c>
      <c r="B39" s="14" t="s">
        <v>230</v>
      </c>
      <c r="C39" s="19" t="s">
        <v>26</v>
      </c>
      <c r="D39" s="16" t="s">
        <v>231</v>
      </c>
      <c r="E39" s="16" t="s">
        <v>232</v>
      </c>
      <c r="F39" s="17" t="s">
        <v>233</v>
      </c>
      <c r="G39" s="17" t="s">
        <v>77</v>
      </c>
      <c r="H39" s="17" t="s">
        <v>89</v>
      </c>
      <c r="I39" s="17" t="s">
        <v>79</v>
      </c>
      <c r="J39" s="13" t="n">
        <v>95</v>
      </c>
      <c r="K39" s="13" t="n">
        <v>15</v>
      </c>
      <c r="L39" s="13" t="s">
        <v>80</v>
      </c>
      <c r="M39" s="13" t="s">
        <v>96</v>
      </c>
      <c r="N39" s="13" t="s">
        <v>96</v>
      </c>
      <c r="O39" s="16" t="s">
        <v>82</v>
      </c>
      <c r="P39" s="16" t="s">
        <v>234</v>
      </c>
      <c r="Q39" s="13" t="s">
        <v>91</v>
      </c>
      <c r="R39" s="18" t="s">
        <v>85</v>
      </c>
      <c r="S39" s="18"/>
    </row>
    <row r="40" customFormat="false" ht="23.85" hidden="false" customHeight="false" outlineLevel="0" collapsed="false">
      <c r="A40" s="13" t="n">
        <v>36</v>
      </c>
      <c r="B40" s="14" t="s">
        <v>235</v>
      </c>
      <c r="C40" s="19" t="s">
        <v>26</v>
      </c>
      <c r="D40" s="16" t="s">
        <v>100</v>
      </c>
      <c r="E40" s="16" t="s">
        <v>236</v>
      </c>
      <c r="F40" s="17" t="s">
        <v>237</v>
      </c>
      <c r="G40" s="17" t="s">
        <v>77</v>
      </c>
      <c r="H40" s="17" t="s">
        <v>89</v>
      </c>
      <c r="I40" s="16" t="s">
        <v>121</v>
      </c>
      <c r="J40" s="13" t="n">
        <v>91</v>
      </c>
      <c r="K40" s="13" t="n">
        <v>19</v>
      </c>
      <c r="L40" s="13" t="s">
        <v>238</v>
      </c>
      <c r="M40" s="13" t="s">
        <v>96</v>
      </c>
      <c r="N40" s="13" t="s">
        <v>96</v>
      </c>
      <c r="O40" s="16" t="s">
        <v>82</v>
      </c>
      <c r="P40" s="16" t="s">
        <v>239</v>
      </c>
      <c r="Q40" s="13" t="s">
        <v>98</v>
      </c>
      <c r="R40" s="18" t="s">
        <v>85</v>
      </c>
      <c r="S40" s="18"/>
    </row>
    <row r="41" customFormat="false" ht="15" hidden="false" customHeight="false" outlineLevel="0" collapsed="false">
      <c r="A41" s="13" t="n">
        <v>37</v>
      </c>
      <c r="B41" s="14" t="s">
        <v>240</v>
      </c>
      <c r="C41" s="19" t="s">
        <v>26</v>
      </c>
      <c r="D41" s="16" t="s">
        <v>231</v>
      </c>
      <c r="E41" s="16" t="s">
        <v>241</v>
      </c>
      <c r="F41" s="17" t="s">
        <v>242</v>
      </c>
      <c r="G41" s="17" t="s">
        <v>77</v>
      </c>
      <c r="H41" s="17" t="s">
        <v>89</v>
      </c>
      <c r="I41" s="16" t="s">
        <v>121</v>
      </c>
      <c r="J41" s="13" t="n">
        <v>177</v>
      </c>
      <c r="K41" s="13" t="n">
        <v>37</v>
      </c>
      <c r="L41" s="13" t="s">
        <v>80</v>
      </c>
      <c r="M41" s="13" t="s">
        <v>96</v>
      </c>
      <c r="N41" s="13" t="s">
        <v>96</v>
      </c>
      <c r="O41" s="16" t="s">
        <v>82</v>
      </c>
      <c r="P41" s="16" t="s">
        <v>243</v>
      </c>
      <c r="Q41" s="13" t="s">
        <v>98</v>
      </c>
      <c r="R41" s="18" t="s">
        <v>85</v>
      </c>
      <c r="S41" s="18"/>
    </row>
    <row r="42" customFormat="false" ht="15" hidden="false" customHeight="false" outlineLevel="0" collapsed="false">
      <c r="A42" s="13" t="n">
        <v>38</v>
      </c>
      <c r="B42" s="14" t="s">
        <v>244</v>
      </c>
      <c r="C42" s="19" t="s">
        <v>26</v>
      </c>
      <c r="D42" s="16" t="s">
        <v>245</v>
      </c>
      <c r="E42" s="16" t="s">
        <v>241</v>
      </c>
      <c r="F42" s="17" t="s">
        <v>246</v>
      </c>
      <c r="G42" s="17" t="s">
        <v>77</v>
      </c>
      <c r="H42" s="17" t="s">
        <v>89</v>
      </c>
      <c r="I42" s="17" t="s">
        <v>79</v>
      </c>
      <c r="J42" s="13" t="n">
        <v>87</v>
      </c>
      <c r="K42" s="13" t="n">
        <v>42</v>
      </c>
      <c r="L42" s="13" t="s">
        <v>80</v>
      </c>
      <c r="M42" s="13" t="s">
        <v>96</v>
      </c>
      <c r="N42" s="13" t="s">
        <v>96</v>
      </c>
      <c r="O42" s="16" t="s">
        <v>82</v>
      </c>
      <c r="P42" s="16" t="s">
        <v>247</v>
      </c>
      <c r="Q42" s="13" t="s">
        <v>91</v>
      </c>
      <c r="R42" s="18" t="s">
        <v>85</v>
      </c>
      <c r="S42" s="18"/>
    </row>
    <row r="43" customFormat="false" ht="15" hidden="false" customHeight="false" outlineLevel="0" collapsed="false">
      <c r="A43" s="13" t="n">
        <v>39</v>
      </c>
      <c r="B43" s="14" t="s">
        <v>248</v>
      </c>
      <c r="C43" s="19" t="s">
        <v>26</v>
      </c>
      <c r="D43" s="16" t="s">
        <v>249</v>
      </c>
      <c r="E43" s="16" t="s">
        <v>250</v>
      </c>
      <c r="F43" s="17" t="s">
        <v>251</v>
      </c>
      <c r="G43" s="17" t="s">
        <v>77</v>
      </c>
      <c r="H43" s="17" t="s">
        <v>89</v>
      </c>
      <c r="I43" s="17" t="s">
        <v>79</v>
      </c>
      <c r="J43" s="13" t="n">
        <v>155</v>
      </c>
      <c r="K43" s="13" t="n">
        <v>28</v>
      </c>
      <c r="L43" s="13" t="s">
        <v>80</v>
      </c>
      <c r="M43" s="13" t="s">
        <v>96</v>
      </c>
      <c r="N43" s="13" t="s">
        <v>96</v>
      </c>
      <c r="O43" s="16" t="s">
        <v>82</v>
      </c>
      <c r="P43" s="16" t="s">
        <v>252</v>
      </c>
      <c r="Q43" s="13" t="s">
        <v>98</v>
      </c>
      <c r="R43" s="18" t="s">
        <v>85</v>
      </c>
      <c r="S43" s="18"/>
    </row>
    <row r="44" customFormat="false" ht="23.85" hidden="false" customHeight="false" outlineLevel="0" collapsed="false">
      <c r="A44" s="13" t="n">
        <v>40</v>
      </c>
      <c r="B44" s="14" t="s">
        <v>253</v>
      </c>
      <c r="C44" s="19" t="s">
        <v>26</v>
      </c>
      <c r="D44" s="16" t="s">
        <v>245</v>
      </c>
      <c r="E44" s="16" t="s">
        <v>241</v>
      </c>
      <c r="F44" s="17" t="s">
        <v>254</v>
      </c>
      <c r="G44" s="17" t="s">
        <v>77</v>
      </c>
      <c r="H44" s="17" t="s">
        <v>89</v>
      </c>
      <c r="I44" s="16" t="s">
        <v>121</v>
      </c>
      <c r="J44" s="13" t="n">
        <v>23</v>
      </c>
      <c r="K44" s="13" t="n">
        <v>6</v>
      </c>
      <c r="L44" s="13" t="s">
        <v>255</v>
      </c>
      <c r="M44" s="13" t="s">
        <v>81</v>
      </c>
      <c r="N44" s="13" t="s">
        <v>81</v>
      </c>
      <c r="O44" s="16" t="s">
        <v>82</v>
      </c>
      <c r="P44" s="16" t="s">
        <v>256</v>
      </c>
      <c r="Q44" s="13" t="s">
        <v>98</v>
      </c>
      <c r="R44" s="18" t="s">
        <v>85</v>
      </c>
      <c r="S44" s="18"/>
    </row>
    <row r="45" customFormat="false" ht="23.85" hidden="false" customHeight="false" outlineLevel="0" collapsed="false">
      <c r="A45" s="13" t="n">
        <v>41</v>
      </c>
      <c r="B45" s="14" t="s">
        <v>257</v>
      </c>
      <c r="C45" s="19" t="s">
        <v>26</v>
      </c>
      <c r="D45" s="16" t="s">
        <v>245</v>
      </c>
      <c r="E45" s="16" t="s">
        <v>241</v>
      </c>
      <c r="F45" s="17" t="s">
        <v>258</v>
      </c>
      <c r="G45" s="17" t="s">
        <v>77</v>
      </c>
      <c r="H45" s="17" t="s">
        <v>89</v>
      </c>
      <c r="I45" s="17" t="s">
        <v>79</v>
      </c>
      <c r="J45" s="13" t="n">
        <v>15</v>
      </c>
      <c r="K45" s="13" t="n">
        <v>3</v>
      </c>
      <c r="L45" s="13" t="s">
        <v>80</v>
      </c>
      <c r="M45" s="13" t="s">
        <v>96</v>
      </c>
      <c r="N45" s="13" t="s">
        <v>81</v>
      </c>
      <c r="O45" s="16" t="s">
        <v>82</v>
      </c>
      <c r="P45" s="16" t="s">
        <v>259</v>
      </c>
      <c r="Q45" s="13" t="s">
        <v>91</v>
      </c>
      <c r="R45" s="18" t="s">
        <v>85</v>
      </c>
      <c r="S45" s="18"/>
    </row>
    <row r="46" customFormat="false" ht="15" hidden="false" customHeight="false" outlineLevel="0" collapsed="false">
      <c r="A46" s="13" t="n">
        <v>42</v>
      </c>
      <c r="B46" s="14" t="s">
        <v>260</v>
      </c>
      <c r="C46" s="19" t="s">
        <v>26</v>
      </c>
      <c r="D46" s="16" t="s">
        <v>261</v>
      </c>
      <c r="E46" s="16" t="s">
        <v>241</v>
      </c>
      <c r="F46" s="17" t="s">
        <v>262</v>
      </c>
      <c r="G46" s="17" t="s">
        <v>77</v>
      </c>
      <c r="H46" s="17" t="s">
        <v>89</v>
      </c>
      <c r="I46" s="16" t="s">
        <v>121</v>
      </c>
      <c r="J46" s="13" t="n">
        <v>22</v>
      </c>
      <c r="K46" s="13" t="n">
        <v>12</v>
      </c>
      <c r="L46" s="13" t="s">
        <v>107</v>
      </c>
      <c r="M46" s="13" t="s">
        <v>96</v>
      </c>
      <c r="N46" s="13" t="s">
        <v>81</v>
      </c>
      <c r="O46" s="16" t="s">
        <v>82</v>
      </c>
      <c r="P46" s="16" t="s">
        <v>263</v>
      </c>
      <c r="Q46" s="13" t="s">
        <v>98</v>
      </c>
      <c r="R46" s="18" t="s">
        <v>85</v>
      </c>
      <c r="S46" s="18"/>
    </row>
    <row r="47" customFormat="false" ht="15" hidden="false" customHeight="false" outlineLevel="0" collapsed="false">
      <c r="A47" s="13" t="n">
        <v>43</v>
      </c>
      <c r="B47" s="14" t="s">
        <v>264</v>
      </c>
      <c r="C47" s="19" t="s">
        <v>26</v>
      </c>
      <c r="D47" s="16" t="s">
        <v>265</v>
      </c>
      <c r="E47" s="16" t="s">
        <v>266</v>
      </c>
      <c r="F47" s="17" t="s">
        <v>267</v>
      </c>
      <c r="G47" s="17" t="s">
        <v>77</v>
      </c>
      <c r="H47" s="17" t="s">
        <v>89</v>
      </c>
      <c r="I47" s="16" t="s">
        <v>121</v>
      </c>
      <c r="J47" s="13" t="n">
        <v>17</v>
      </c>
      <c r="K47" s="13" t="n">
        <v>11</v>
      </c>
      <c r="L47" s="13" t="s">
        <v>80</v>
      </c>
      <c r="M47" s="13" t="s">
        <v>96</v>
      </c>
      <c r="N47" s="13" t="s">
        <v>96</v>
      </c>
      <c r="O47" s="16" t="s">
        <v>82</v>
      </c>
      <c r="P47" s="16" t="s">
        <v>268</v>
      </c>
      <c r="Q47" s="13" t="s">
        <v>98</v>
      </c>
      <c r="R47" s="18" t="s">
        <v>85</v>
      </c>
      <c r="S47" s="18"/>
    </row>
    <row r="48" customFormat="false" ht="15" hidden="false" customHeight="false" outlineLevel="0" collapsed="false">
      <c r="A48" s="13" t="n">
        <v>44</v>
      </c>
      <c r="B48" s="14" t="s">
        <v>269</v>
      </c>
      <c r="C48" s="19" t="s">
        <v>26</v>
      </c>
      <c r="D48" s="16" t="s">
        <v>245</v>
      </c>
      <c r="E48" s="16" t="s">
        <v>270</v>
      </c>
      <c r="F48" s="17" t="s">
        <v>271</v>
      </c>
      <c r="G48" s="17" t="s">
        <v>77</v>
      </c>
      <c r="H48" s="17" t="s">
        <v>89</v>
      </c>
      <c r="I48" s="16" t="s">
        <v>121</v>
      </c>
      <c r="J48" s="13" t="n">
        <v>45</v>
      </c>
      <c r="K48" s="13" t="n">
        <v>15</v>
      </c>
      <c r="L48" s="13" t="s">
        <v>107</v>
      </c>
      <c r="M48" s="13" t="s">
        <v>96</v>
      </c>
      <c r="N48" s="13" t="s">
        <v>96</v>
      </c>
      <c r="O48" s="16" t="s">
        <v>82</v>
      </c>
      <c r="P48" s="16" t="s">
        <v>272</v>
      </c>
      <c r="Q48" s="13" t="s">
        <v>91</v>
      </c>
      <c r="R48" s="18" t="s">
        <v>85</v>
      </c>
      <c r="S48" s="18"/>
    </row>
    <row r="49" customFormat="false" ht="23.85" hidden="false" customHeight="false" outlineLevel="0" collapsed="false">
      <c r="A49" s="13" t="n">
        <v>45</v>
      </c>
      <c r="B49" s="14" t="s">
        <v>273</v>
      </c>
      <c r="C49" s="19" t="s">
        <v>26</v>
      </c>
      <c r="D49" s="16" t="s">
        <v>261</v>
      </c>
      <c r="E49" s="16" t="s">
        <v>241</v>
      </c>
      <c r="F49" s="17" t="s">
        <v>274</v>
      </c>
      <c r="G49" s="17" t="s">
        <v>77</v>
      </c>
      <c r="H49" s="17" t="s">
        <v>106</v>
      </c>
      <c r="I49" s="17" t="s">
        <v>79</v>
      </c>
      <c r="J49" s="13" t="n">
        <v>109</v>
      </c>
      <c r="K49" s="13" t="n">
        <v>15</v>
      </c>
      <c r="L49" s="13" t="s">
        <v>80</v>
      </c>
      <c r="M49" s="13" t="s">
        <v>96</v>
      </c>
      <c r="N49" s="13" t="s">
        <v>81</v>
      </c>
      <c r="O49" s="16" t="s">
        <v>82</v>
      </c>
      <c r="P49" s="16" t="s">
        <v>275</v>
      </c>
      <c r="Q49" s="13" t="s">
        <v>98</v>
      </c>
      <c r="R49" s="18" t="s">
        <v>85</v>
      </c>
      <c r="S49" s="18"/>
    </row>
    <row r="50" customFormat="false" ht="23.85" hidden="false" customHeight="false" outlineLevel="0" collapsed="false">
      <c r="A50" s="13" t="n">
        <v>46</v>
      </c>
      <c r="B50" s="14" t="s">
        <v>276</v>
      </c>
      <c r="C50" s="19" t="s">
        <v>26</v>
      </c>
      <c r="D50" s="16" t="s">
        <v>245</v>
      </c>
      <c r="E50" s="16" t="s">
        <v>277</v>
      </c>
      <c r="F50" s="17" t="s">
        <v>278</v>
      </c>
      <c r="G50" s="17" t="s">
        <v>77</v>
      </c>
      <c r="H50" s="17" t="s">
        <v>89</v>
      </c>
      <c r="I50" s="16" t="s">
        <v>121</v>
      </c>
      <c r="J50" s="13" t="n">
        <v>73</v>
      </c>
      <c r="K50" s="13" t="n">
        <v>19</v>
      </c>
      <c r="L50" s="13" t="s">
        <v>80</v>
      </c>
      <c r="M50" s="13" t="s">
        <v>81</v>
      </c>
      <c r="N50" s="13" t="s">
        <v>96</v>
      </c>
      <c r="O50" s="16" t="s">
        <v>82</v>
      </c>
      <c r="P50" s="16" t="s">
        <v>279</v>
      </c>
      <c r="Q50" s="13" t="s">
        <v>91</v>
      </c>
      <c r="R50" s="18" t="s">
        <v>85</v>
      </c>
      <c r="S50" s="18"/>
    </row>
    <row r="51" customFormat="false" ht="23.85" hidden="false" customHeight="false" outlineLevel="0" collapsed="false">
      <c r="A51" s="13" t="n">
        <v>47</v>
      </c>
      <c r="B51" s="14" t="s">
        <v>280</v>
      </c>
      <c r="C51" s="19" t="s">
        <v>26</v>
      </c>
      <c r="D51" s="16" t="s">
        <v>100</v>
      </c>
      <c r="E51" s="16" t="s">
        <v>241</v>
      </c>
      <c r="F51" s="17" t="s">
        <v>281</v>
      </c>
      <c r="G51" s="17" t="s">
        <v>77</v>
      </c>
      <c r="H51" s="17" t="s">
        <v>89</v>
      </c>
      <c r="I51" s="17" t="s">
        <v>79</v>
      </c>
      <c r="J51" s="13" t="n">
        <v>45</v>
      </c>
      <c r="K51" s="13" t="n">
        <v>17</v>
      </c>
      <c r="L51" s="13" t="s">
        <v>80</v>
      </c>
      <c r="M51" s="13" t="s">
        <v>96</v>
      </c>
      <c r="N51" s="13" t="s">
        <v>96</v>
      </c>
      <c r="O51" s="16" t="s">
        <v>82</v>
      </c>
      <c r="P51" s="16" t="s">
        <v>282</v>
      </c>
      <c r="Q51" s="13" t="s">
        <v>98</v>
      </c>
      <c r="R51" s="18" t="s">
        <v>85</v>
      </c>
      <c r="S51" s="18"/>
    </row>
    <row r="52" customFormat="false" ht="15" hidden="false" customHeight="false" outlineLevel="0" collapsed="false">
      <c r="A52" s="13" t="n">
        <v>48</v>
      </c>
      <c r="B52" s="14" t="s">
        <v>283</v>
      </c>
      <c r="C52" s="19" t="s">
        <v>26</v>
      </c>
      <c r="D52" s="16" t="s">
        <v>261</v>
      </c>
      <c r="E52" s="16" t="s">
        <v>284</v>
      </c>
      <c r="F52" s="17" t="s">
        <v>285</v>
      </c>
      <c r="G52" s="17" t="s">
        <v>77</v>
      </c>
      <c r="H52" s="17" t="s">
        <v>89</v>
      </c>
      <c r="I52" s="16" t="s">
        <v>121</v>
      </c>
      <c r="J52" s="13" t="n">
        <v>16</v>
      </c>
      <c r="K52" s="13" t="n">
        <v>9</v>
      </c>
      <c r="L52" s="13" t="s">
        <v>255</v>
      </c>
      <c r="M52" s="13" t="s">
        <v>96</v>
      </c>
      <c r="N52" s="13" t="s">
        <v>81</v>
      </c>
      <c r="O52" s="16" t="s">
        <v>82</v>
      </c>
      <c r="P52" s="16" t="s">
        <v>286</v>
      </c>
      <c r="Q52" s="13" t="s">
        <v>91</v>
      </c>
      <c r="R52" s="18" t="s">
        <v>85</v>
      </c>
      <c r="S52" s="18"/>
    </row>
    <row r="53" customFormat="false" ht="15" hidden="false" customHeight="false" outlineLevel="0" collapsed="false">
      <c r="A53" s="13" t="n">
        <v>49</v>
      </c>
      <c r="B53" s="14" t="s">
        <v>287</v>
      </c>
      <c r="C53" s="19" t="s">
        <v>26</v>
      </c>
      <c r="D53" s="16" t="s">
        <v>261</v>
      </c>
      <c r="E53" s="16" t="s">
        <v>241</v>
      </c>
      <c r="F53" s="17" t="s">
        <v>288</v>
      </c>
      <c r="G53" s="17" t="s">
        <v>77</v>
      </c>
      <c r="H53" s="17" t="s">
        <v>106</v>
      </c>
      <c r="I53" s="17" t="s">
        <v>79</v>
      </c>
      <c r="J53" s="13" t="n">
        <v>233</v>
      </c>
      <c r="K53" s="13" t="n">
        <v>22</v>
      </c>
      <c r="L53" s="13" t="s">
        <v>80</v>
      </c>
      <c r="M53" s="13" t="s">
        <v>96</v>
      </c>
      <c r="N53" s="13" t="s">
        <v>81</v>
      </c>
      <c r="O53" s="16" t="s">
        <v>82</v>
      </c>
      <c r="P53" s="16" t="s">
        <v>289</v>
      </c>
      <c r="Q53" s="13" t="s">
        <v>91</v>
      </c>
      <c r="R53" s="18" t="s">
        <v>85</v>
      </c>
      <c r="S53" s="18"/>
    </row>
    <row r="54" customFormat="false" ht="15" hidden="false" customHeight="false" outlineLevel="0" collapsed="false">
      <c r="A54" s="13" t="n">
        <v>50</v>
      </c>
      <c r="B54" s="14" t="s">
        <v>290</v>
      </c>
      <c r="C54" s="19" t="s">
        <v>26</v>
      </c>
      <c r="D54" s="16" t="s">
        <v>261</v>
      </c>
      <c r="E54" s="16" t="s">
        <v>291</v>
      </c>
      <c r="F54" s="17" t="s">
        <v>292</v>
      </c>
      <c r="G54" s="17" t="s">
        <v>77</v>
      </c>
      <c r="H54" s="17" t="s">
        <v>89</v>
      </c>
      <c r="I54" s="17" t="s">
        <v>79</v>
      </c>
      <c r="J54" s="13" t="n">
        <v>61</v>
      </c>
      <c r="K54" s="13" t="n">
        <v>12</v>
      </c>
      <c r="L54" s="13" t="s">
        <v>80</v>
      </c>
      <c r="M54" s="13" t="s">
        <v>96</v>
      </c>
      <c r="N54" s="13" t="s">
        <v>96</v>
      </c>
      <c r="O54" s="16" t="s">
        <v>82</v>
      </c>
      <c r="P54" s="16" t="s">
        <v>293</v>
      </c>
      <c r="Q54" s="13" t="s">
        <v>98</v>
      </c>
      <c r="R54" s="18" t="s">
        <v>85</v>
      </c>
      <c r="S54" s="18"/>
    </row>
    <row r="55" customFormat="false" ht="15" hidden="false" customHeight="false" outlineLevel="0" collapsed="false">
      <c r="A55" s="13" t="n">
        <v>51</v>
      </c>
      <c r="B55" s="14" t="s">
        <v>294</v>
      </c>
      <c r="C55" s="19" t="s">
        <v>26</v>
      </c>
      <c r="D55" s="16" t="s">
        <v>226</v>
      </c>
      <c r="E55" s="16" t="s">
        <v>295</v>
      </c>
      <c r="F55" s="17" t="s">
        <v>296</v>
      </c>
      <c r="G55" s="17" t="s">
        <v>77</v>
      </c>
      <c r="H55" s="17" t="s">
        <v>89</v>
      </c>
      <c r="I55" s="17" t="s">
        <v>79</v>
      </c>
      <c r="J55" s="13" t="n">
        <v>160</v>
      </c>
      <c r="K55" s="13" t="n">
        <v>38</v>
      </c>
      <c r="L55" s="13" t="s">
        <v>80</v>
      </c>
      <c r="M55" s="13" t="s">
        <v>96</v>
      </c>
      <c r="N55" s="13" t="s">
        <v>96</v>
      </c>
      <c r="O55" s="16" t="s">
        <v>82</v>
      </c>
      <c r="P55" s="16" t="s">
        <v>297</v>
      </c>
      <c r="Q55" s="13" t="s">
        <v>91</v>
      </c>
      <c r="R55" s="18" t="s">
        <v>85</v>
      </c>
      <c r="S55" s="18"/>
    </row>
    <row r="56" customFormat="false" ht="15" hidden="false" customHeight="false" outlineLevel="0" collapsed="false">
      <c r="A56" s="13" t="n">
        <v>52</v>
      </c>
      <c r="B56" s="14" t="s">
        <v>298</v>
      </c>
      <c r="C56" s="19" t="s">
        <v>26</v>
      </c>
      <c r="D56" s="16" t="s">
        <v>299</v>
      </c>
      <c r="E56" s="16" t="s">
        <v>191</v>
      </c>
      <c r="F56" s="17" t="s">
        <v>300</v>
      </c>
      <c r="G56" s="17" t="s">
        <v>77</v>
      </c>
      <c r="H56" s="17" t="s">
        <v>89</v>
      </c>
      <c r="I56" s="16" t="s">
        <v>121</v>
      </c>
      <c r="J56" s="13" t="n">
        <v>20</v>
      </c>
      <c r="K56" s="13" t="n">
        <v>11</v>
      </c>
      <c r="L56" s="13" t="s">
        <v>107</v>
      </c>
      <c r="M56" s="13" t="s">
        <v>96</v>
      </c>
      <c r="N56" s="13" t="s">
        <v>96</v>
      </c>
      <c r="O56" s="16" t="s">
        <v>82</v>
      </c>
      <c r="P56" s="16" t="s">
        <v>301</v>
      </c>
      <c r="Q56" s="13" t="s">
        <v>91</v>
      </c>
      <c r="R56" s="18" t="s">
        <v>85</v>
      </c>
      <c r="S56" s="18"/>
    </row>
    <row r="57" customFormat="false" ht="23.85" hidden="false" customHeight="false" outlineLevel="0" collapsed="false">
      <c r="A57" s="13" t="n">
        <v>53</v>
      </c>
      <c r="B57" s="14" t="s">
        <v>302</v>
      </c>
      <c r="C57" s="19" t="s">
        <v>26</v>
      </c>
      <c r="D57" s="16" t="s">
        <v>74</v>
      </c>
      <c r="E57" s="16" t="s">
        <v>303</v>
      </c>
      <c r="F57" s="17" t="s">
        <v>304</v>
      </c>
      <c r="G57" s="17" t="s">
        <v>77</v>
      </c>
      <c r="H57" s="17" t="s">
        <v>89</v>
      </c>
      <c r="I57" s="16" t="s">
        <v>121</v>
      </c>
      <c r="J57" s="13" t="n">
        <v>98</v>
      </c>
      <c r="K57" s="13" t="n">
        <v>14</v>
      </c>
      <c r="L57" s="13" t="s">
        <v>107</v>
      </c>
      <c r="M57" s="13" t="s">
        <v>96</v>
      </c>
      <c r="N57" s="13" t="s">
        <v>81</v>
      </c>
      <c r="O57" s="16" t="s">
        <v>82</v>
      </c>
      <c r="P57" s="16" t="s">
        <v>305</v>
      </c>
      <c r="Q57" s="13" t="s">
        <v>98</v>
      </c>
      <c r="R57" s="18" t="s">
        <v>85</v>
      </c>
      <c r="S57" s="18"/>
    </row>
    <row r="58" customFormat="false" ht="15" hidden="false" customHeight="false" outlineLevel="0" collapsed="false">
      <c r="A58" s="13" t="n">
        <v>54</v>
      </c>
      <c r="B58" s="14" t="s">
        <v>306</v>
      </c>
      <c r="C58" s="19" t="s">
        <v>26</v>
      </c>
      <c r="D58" s="16" t="s">
        <v>74</v>
      </c>
      <c r="E58" s="16" t="s">
        <v>307</v>
      </c>
      <c r="F58" s="17" t="s">
        <v>308</v>
      </c>
      <c r="G58" s="17" t="s">
        <v>77</v>
      </c>
      <c r="H58" s="17" t="s">
        <v>309</v>
      </c>
      <c r="I58" s="16" t="s">
        <v>121</v>
      </c>
      <c r="J58" s="13" t="n">
        <v>181</v>
      </c>
      <c r="K58" s="13" t="n">
        <v>18</v>
      </c>
      <c r="L58" s="13" t="s">
        <v>80</v>
      </c>
      <c r="M58" s="13" t="s">
        <v>81</v>
      </c>
      <c r="N58" s="13" t="s">
        <v>81</v>
      </c>
      <c r="O58" s="16" t="s">
        <v>82</v>
      </c>
      <c r="P58" s="16" t="s">
        <v>310</v>
      </c>
      <c r="Q58" s="13" t="s">
        <v>202</v>
      </c>
      <c r="R58" s="18" t="s">
        <v>85</v>
      </c>
      <c r="S58" s="18"/>
    </row>
    <row r="59" customFormat="false" ht="15" hidden="false" customHeight="false" outlineLevel="0" collapsed="false">
      <c r="A59" s="13" t="n">
        <v>55</v>
      </c>
      <c r="B59" s="14" t="s">
        <v>311</v>
      </c>
      <c r="C59" s="19" t="s">
        <v>26</v>
      </c>
      <c r="D59" s="16" t="s">
        <v>74</v>
      </c>
      <c r="E59" s="16" t="s">
        <v>119</v>
      </c>
      <c r="F59" s="17" t="s">
        <v>312</v>
      </c>
      <c r="G59" s="17" t="s">
        <v>77</v>
      </c>
      <c r="H59" s="17" t="s">
        <v>89</v>
      </c>
      <c r="I59" s="17" t="s">
        <v>79</v>
      </c>
      <c r="J59" s="13" t="n">
        <v>374</v>
      </c>
      <c r="K59" s="13" t="n">
        <v>8</v>
      </c>
      <c r="L59" s="13" t="s">
        <v>80</v>
      </c>
      <c r="M59" s="13" t="s">
        <v>81</v>
      </c>
      <c r="N59" s="13" t="s">
        <v>96</v>
      </c>
      <c r="O59" s="16" t="s">
        <v>82</v>
      </c>
      <c r="P59" s="16" t="s">
        <v>313</v>
      </c>
      <c r="Q59" s="13" t="s">
        <v>91</v>
      </c>
      <c r="R59" s="18" t="s">
        <v>85</v>
      </c>
      <c r="S59" s="18"/>
    </row>
    <row r="60" customFormat="false" ht="15" hidden="false" customHeight="false" outlineLevel="0" collapsed="false">
      <c r="A60" s="13" t="n">
        <v>56</v>
      </c>
      <c r="B60" s="14" t="s">
        <v>314</v>
      </c>
      <c r="C60" s="19" t="s">
        <v>26</v>
      </c>
      <c r="D60" s="16" t="s">
        <v>74</v>
      </c>
      <c r="E60" s="16" t="s">
        <v>277</v>
      </c>
      <c r="F60" s="17" t="s">
        <v>315</v>
      </c>
      <c r="G60" s="17" t="s">
        <v>77</v>
      </c>
      <c r="H60" s="17" t="s">
        <v>89</v>
      </c>
      <c r="I60" s="16" t="s">
        <v>121</v>
      </c>
      <c r="J60" s="13" t="n">
        <v>60</v>
      </c>
      <c r="K60" s="13" t="n">
        <v>11</v>
      </c>
      <c r="L60" s="13" t="s">
        <v>107</v>
      </c>
      <c r="M60" s="13" t="s">
        <v>81</v>
      </c>
      <c r="N60" s="13" t="s">
        <v>96</v>
      </c>
      <c r="O60" s="16" t="s">
        <v>82</v>
      </c>
      <c r="P60" s="16" t="s">
        <v>316</v>
      </c>
      <c r="Q60" s="13" t="s">
        <v>91</v>
      </c>
      <c r="R60" s="18" t="s">
        <v>85</v>
      </c>
      <c r="S60" s="18"/>
    </row>
    <row r="61" customFormat="false" ht="23.85" hidden="false" customHeight="false" outlineLevel="0" collapsed="false">
      <c r="A61" s="13" t="n">
        <v>57</v>
      </c>
      <c r="B61" s="14" t="s">
        <v>317</v>
      </c>
      <c r="C61" s="19" t="s">
        <v>26</v>
      </c>
      <c r="D61" s="16" t="s">
        <v>74</v>
      </c>
      <c r="E61" s="16" t="s">
        <v>191</v>
      </c>
      <c r="F61" s="17" t="s">
        <v>318</v>
      </c>
      <c r="G61" s="17" t="s">
        <v>77</v>
      </c>
      <c r="H61" s="17" t="s">
        <v>319</v>
      </c>
      <c r="I61" s="16" t="s">
        <v>121</v>
      </c>
      <c r="J61" s="13" t="n">
        <v>63</v>
      </c>
      <c r="K61" s="13" t="n">
        <v>32</v>
      </c>
      <c r="L61" s="13" t="s">
        <v>107</v>
      </c>
      <c r="M61" s="13" t="s">
        <v>81</v>
      </c>
      <c r="N61" s="13" t="s">
        <v>81</v>
      </c>
      <c r="O61" s="16" t="s">
        <v>320</v>
      </c>
      <c r="P61" s="16" t="s">
        <v>321</v>
      </c>
      <c r="Q61" s="13" t="s">
        <v>91</v>
      </c>
      <c r="R61" s="18" t="s">
        <v>85</v>
      </c>
      <c r="S61" s="18"/>
    </row>
    <row r="62" customFormat="false" ht="15" hidden="false" customHeight="false" outlineLevel="0" collapsed="false">
      <c r="A62" s="13" t="n">
        <v>58</v>
      </c>
      <c r="B62" s="14" t="s">
        <v>322</v>
      </c>
      <c r="C62" s="19" t="s">
        <v>26</v>
      </c>
      <c r="D62" s="16" t="s">
        <v>74</v>
      </c>
      <c r="E62" s="16" t="s">
        <v>180</v>
      </c>
      <c r="F62" s="17" t="s">
        <v>323</v>
      </c>
      <c r="G62" s="17" t="s">
        <v>77</v>
      </c>
      <c r="H62" s="17" t="s">
        <v>78</v>
      </c>
      <c r="I62" s="16" t="s">
        <v>121</v>
      </c>
      <c r="J62" s="13" t="n">
        <v>254</v>
      </c>
      <c r="K62" s="13" t="n">
        <v>37</v>
      </c>
      <c r="L62" s="13" t="s">
        <v>80</v>
      </c>
      <c r="M62" s="13" t="s">
        <v>81</v>
      </c>
      <c r="N62" s="13" t="s">
        <v>81</v>
      </c>
      <c r="O62" s="16" t="s">
        <v>82</v>
      </c>
      <c r="P62" s="16" t="s">
        <v>324</v>
      </c>
      <c r="Q62" s="13" t="s">
        <v>98</v>
      </c>
      <c r="R62" s="18" t="s">
        <v>85</v>
      </c>
      <c r="S62" s="18"/>
    </row>
    <row r="63" customFormat="false" ht="15" hidden="false" customHeight="false" outlineLevel="0" collapsed="false">
      <c r="A63" s="13" t="n">
        <v>59</v>
      </c>
      <c r="B63" s="14" t="s">
        <v>325</v>
      </c>
      <c r="C63" s="19" t="s">
        <v>26</v>
      </c>
      <c r="D63" s="16" t="s">
        <v>74</v>
      </c>
      <c r="E63" s="16" t="s">
        <v>101</v>
      </c>
      <c r="F63" s="17" t="s">
        <v>326</v>
      </c>
      <c r="G63" s="17" t="s">
        <v>77</v>
      </c>
      <c r="H63" s="17" t="s">
        <v>89</v>
      </c>
      <c r="I63" s="17" t="s">
        <v>79</v>
      </c>
      <c r="J63" s="13" t="n">
        <v>18</v>
      </c>
      <c r="K63" s="13" t="n">
        <v>5</v>
      </c>
      <c r="L63" s="13" t="s">
        <v>107</v>
      </c>
      <c r="M63" s="13" t="s">
        <v>81</v>
      </c>
      <c r="N63" s="13" t="s">
        <v>81</v>
      </c>
      <c r="O63" s="16" t="s">
        <v>82</v>
      </c>
      <c r="P63" s="16" t="s">
        <v>327</v>
      </c>
      <c r="Q63" s="13" t="s">
        <v>98</v>
      </c>
      <c r="R63" s="18" t="s">
        <v>85</v>
      </c>
      <c r="S63" s="18"/>
    </row>
    <row r="64" customFormat="false" ht="15" hidden="false" customHeight="false" outlineLevel="0" collapsed="false">
      <c r="A64" s="13" t="n">
        <v>60</v>
      </c>
      <c r="B64" s="14" t="s">
        <v>328</v>
      </c>
      <c r="C64" s="19" t="s">
        <v>26</v>
      </c>
      <c r="D64" s="16" t="s">
        <v>74</v>
      </c>
      <c r="E64" s="16" t="s">
        <v>213</v>
      </c>
      <c r="F64" s="17" t="s">
        <v>329</v>
      </c>
      <c r="G64" s="17" t="s">
        <v>77</v>
      </c>
      <c r="H64" s="17" t="s">
        <v>319</v>
      </c>
      <c r="I64" s="17" t="s">
        <v>79</v>
      </c>
      <c r="J64" s="13" t="n">
        <v>8</v>
      </c>
      <c r="K64" s="13" t="n">
        <v>3</v>
      </c>
      <c r="L64" s="13" t="s">
        <v>122</v>
      </c>
      <c r="M64" s="13" t="s">
        <v>81</v>
      </c>
      <c r="N64" s="13" t="s">
        <v>81</v>
      </c>
      <c r="O64" s="16" t="s">
        <v>82</v>
      </c>
      <c r="P64" s="16" t="s">
        <v>330</v>
      </c>
      <c r="Q64" s="13" t="s">
        <v>98</v>
      </c>
      <c r="R64" s="18" t="s">
        <v>85</v>
      </c>
      <c r="S64" s="18"/>
    </row>
    <row r="65" customFormat="false" ht="23.85" hidden="false" customHeight="false" outlineLevel="0" collapsed="false">
      <c r="A65" s="13" t="n">
        <v>61</v>
      </c>
      <c r="B65" s="14" t="s">
        <v>331</v>
      </c>
      <c r="C65" s="19" t="s">
        <v>26</v>
      </c>
      <c r="D65" s="16" t="s">
        <v>74</v>
      </c>
      <c r="E65" s="16" t="s">
        <v>191</v>
      </c>
      <c r="F65" s="17" t="s">
        <v>332</v>
      </c>
      <c r="G65" s="17" t="s">
        <v>77</v>
      </c>
      <c r="H65" s="17" t="s">
        <v>89</v>
      </c>
      <c r="I65" s="16" t="s">
        <v>121</v>
      </c>
      <c r="J65" s="13" t="n">
        <v>11</v>
      </c>
      <c r="K65" s="13" t="n">
        <v>7</v>
      </c>
      <c r="L65" s="13" t="s">
        <v>80</v>
      </c>
      <c r="M65" s="13" t="s">
        <v>81</v>
      </c>
      <c r="N65" s="13" t="s">
        <v>81</v>
      </c>
      <c r="O65" s="16" t="s">
        <v>82</v>
      </c>
      <c r="P65" s="16" t="s">
        <v>333</v>
      </c>
      <c r="Q65" s="13" t="s">
        <v>91</v>
      </c>
      <c r="R65" s="18" t="s">
        <v>85</v>
      </c>
      <c r="S65" s="18"/>
    </row>
    <row r="66" customFormat="false" ht="15" hidden="false" customHeight="false" outlineLevel="0" collapsed="false">
      <c r="A66" s="13" t="n">
        <v>62</v>
      </c>
      <c r="B66" s="14" t="s">
        <v>334</v>
      </c>
      <c r="C66" s="19" t="s">
        <v>26</v>
      </c>
      <c r="D66" s="16" t="s">
        <v>74</v>
      </c>
      <c r="E66" s="16" t="s">
        <v>335</v>
      </c>
      <c r="F66" s="17" t="s">
        <v>336</v>
      </c>
      <c r="G66" s="17" t="s">
        <v>77</v>
      </c>
      <c r="H66" s="17" t="s">
        <v>89</v>
      </c>
      <c r="I66" s="17" t="s">
        <v>79</v>
      </c>
      <c r="J66" s="13" t="n">
        <v>542</v>
      </c>
      <c r="K66" s="13" t="n">
        <v>93</v>
      </c>
      <c r="L66" s="13" t="s">
        <v>80</v>
      </c>
      <c r="M66" s="13" t="s">
        <v>81</v>
      </c>
      <c r="N66" s="13" t="s">
        <v>96</v>
      </c>
      <c r="O66" s="16" t="s">
        <v>82</v>
      </c>
      <c r="P66" s="16" t="s">
        <v>337</v>
      </c>
      <c r="Q66" s="13" t="s">
        <v>91</v>
      </c>
      <c r="R66" s="18" t="s">
        <v>85</v>
      </c>
      <c r="S66" s="18"/>
    </row>
    <row r="67" customFormat="false" ht="15" hidden="false" customHeight="false" outlineLevel="0" collapsed="false">
      <c r="A67" s="13" t="n">
        <v>63</v>
      </c>
      <c r="B67" s="14" t="s">
        <v>338</v>
      </c>
      <c r="C67" s="19" t="s">
        <v>26</v>
      </c>
      <c r="D67" s="16" t="s">
        <v>74</v>
      </c>
      <c r="E67" s="16" t="s">
        <v>339</v>
      </c>
      <c r="F67" s="17" t="s">
        <v>340</v>
      </c>
      <c r="G67" s="17" t="s">
        <v>77</v>
      </c>
      <c r="H67" s="17" t="s">
        <v>89</v>
      </c>
      <c r="I67" s="17" t="s">
        <v>341</v>
      </c>
      <c r="J67" s="13" t="n">
        <v>325</v>
      </c>
      <c r="K67" s="13" t="n">
        <v>114</v>
      </c>
      <c r="L67" s="13" t="s">
        <v>80</v>
      </c>
      <c r="M67" s="13" t="s">
        <v>81</v>
      </c>
      <c r="N67" s="13" t="s">
        <v>81</v>
      </c>
      <c r="O67" s="16" t="s">
        <v>82</v>
      </c>
      <c r="P67" s="16" t="s">
        <v>342</v>
      </c>
      <c r="Q67" s="13" t="s">
        <v>98</v>
      </c>
      <c r="R67" s="18" t="s">
        <v>85</v>
      </c>
      <c r="S67" s="18"/>
    </row>
    <row r="68" customFormat="false" ht="23.85" hidden="false" customHeight="false" outlineLevel="0" collapsed="false">
      <c r="A68" s="13" t="n">
        <v>64</v>
      </c>
      <c r="B68" s="14" t="s">
        <v>343</v>
      </c>
      <c r="C68" s="19" t="s">
        <v>26</v>
      </c>
      <c r="D68" s="16" t="s">
        <v>74</v>
      </c>
      <c r="E68" s="16" t="s">
        <v>191</v>
      </c>
      <c r="F68" s="17" t="s">
        <v>344</v>
      </c>
      <c r="G68" s="17" t="s">
        <v>77</v>
      </c>
      <c r="H68" s="17" t="s">
        <v>319</v>
      </c>
      <c r="I68" s="17" t="s">
        <v>79</v>
      </c>
      <c r="J68" s="13" t="n">
        <v>816</v>
      </c>
      <c r="K68" s="13" t="n">
        <v>203</v>
      </c>
      <c r="L68" s="13" t="s">
        <v>80</v>
      </c>
      <c r="M68" s="13" t="s">
        <v>81</v>
      </c>
      <c r="N68" s="13" t="s">
        <v>81</v>
      </c>
      <c r="O68" s="16" t="s">
        <v>82</v>
      </c>
      <c r="P68" s="16" t="s">
        <v>345</v>
      </c>
      <c r="Q68" s="13" t="s">
        <v>91</v>
      </c>
      <c r="R68" s="18" t="s">
        <v>85</v>
      </c>
      <c r="S68" s="18"/>
    </row>
    <row r="69" customFormat="false" ht="15" hidden="false" customHeight="false" outlineLevel="0" collapsed="false">
      <c r="A69" s="13" t="n">
        <v>65</v>
      </c>
      <c r="B69" s="14" t="s">
        <v>346</v>
      </c>
      <c r="C69" s="19" t="s">
        <v>26</v>
      </c>
      <c r="D69" s="16" t="s">
        <v>74</v>
      </c>
      <c r="E69" s="16" t="s">
        <v>347</v>
      </c>
      <c r="F69" s="17" t="s">
        <v>348</v>
      </c>
      <c r="G69" s="17" t="s">
        <v>77</v>
      </c>
      <c r="H69" s="17" t="s">
        <v>89</v>
      </c>
      <c r="I69" s="17" t="s">
        <v>79</v>
      </c>
      <c r="J69" s="13" t="n">
        <v>26</v>
      </c>
      <c r="K69" s="13" t="n">
        <v>12</v>
      </c>
      <c r="L69" s="13" t="s">
        <v>80</v>
      </c>
      <c r="M69" s="13" t="s">
        <v>81</v>
      </c>
      <c r="N69" s="13" t="s">
        <v>81</v>
      </c>
      <c r="O69" s="16" t="s">
        <v>82</v>
      </c>
      <c r="P69" s="16" t="s">
        <v>349</v>
      </c>
      <c r="Q69" s="13" t="s">
        <v>98</v>
      </c>
      <c r="R69" s="18" t="s">
        <v>85</v>
      </c>
      <c r="S69" s="18"/>
    </row>
    <row r="70" customFormat="false" ht="15" hidden="false" customHeight="false" outlineLevel="0" collapsed="false">
      <c r="A70" s="13" t="n">
        <v>66</v>
      </c>
      <c r="B70" s="14" t="s">
        <v>350</v>
      </c>
      <c r="C70" s="19" t="s">
        <v>26</v>
      </c>
      <c r="D70" s="16" t="s">
        <v>74</v>
      </c>
      <c r="E70" s="16" t="s">
        <v>191</v>
      </c>
      <c r="F70" s="17" t="s">
        <v>351</v>
      </c>
      <c r="G70" s="17" t="s">
        <v>77</v>
      </c>
      <c r="H70" s="17" t="s">
        <v>319</v>
      </c>
      <c r="I70" s="16" t="s">
        <v>121</v>
      </c>
      <c r="J70" s="13" t="n">
        <v>17</v>
      </c>
      <c r="K70" s="13" t="n">
        <v>4</v>
      </c>
      <c r="L70" s="13" t="s">
        <v>352</v>
      </c>
      <c r="M70" s="13" t="s">
        <v>96</v>
      </c>
      <c r="N70" s="13" t="s">
        <v>81</v>
      </c>
      <c r="O70" s="16" t="s">
        <v>82</v>
      </c>
      <c r="P70" s="16" t="s">
        <v>353</v>
      </c>
      <c r="Q70" s="13" t="s">
        <v>84</v>
      </c>
      <c r="R70" s="18" t="s">
        <v>85</v>
      </c>
      <c r="S70" s="18"/>
    </row>
    <row r="71" customFormat="false" ht="15" hidden="false" customHeight="false" outlineLevel="0" collapsed="false">
      <c r="A71" s="13" t="n">
        <v>67</v>
      </c>
      <c r="B71" s="14" t="s">
        <v>354</v>
      </c>
      <c r="C71" s="19" t="s">
        <v>26</v>
      </c>
      <c r="D71" s="16" t="s">
        <v>74</v>
      </c>
      <c r="E71" s="16" t="s">
        <v>355</v>
      </c>
      <c r="F71" s="17" t="s">
        <v>356</v>
      </c>
      <c r="G71" s="17" t="s">
        <v>77</v>
      </c>
      <c r="H71" s="17" t="s">
        <v>106</v>
      </c>
      <c r="I71" s="16" t="s">
        <v>121</v>
      </c>
      <c r="J71" s="13" t="n">
        <v>102</v>
      </c>
      <c r="K71" s="13" t="n">
        <v>7</v>
      </c>
      <c r="L71" s="13" t="s">
        <v>80</v>
      </c>
      <c r="M71" s="13" t="s">
        <v>81</v>
      </c>
      <c r="N71" s="13" t="s">
        <v>81</v>
      </c>
      <c r="O71" s="16" t="s">
        <v>82</v>
      </c>
      <c r="P71" s="16" t="s">
        <v>357</v>
      </c>
      <c r="Q71" s="13" t="s">
        <v>98</v>
      </c>
      <c r="R71" s="18" t="s">
        <v>85</v>
      </c>
      <c r="S71" s="18"/>
    </row>
    <row r="72" customFormat="false" ht="23.85" hidden="false" customHeight="false" outlineLevel="0" collapsed="false">
      <c r="A72" s="13" t="n">
        <v>68</v>
      </c>
      <c r="B72" s="14" t="s">
        <v>358</v>
      </c>
      <c r="C72" s="19" t="s">
        <v>26</v>
      </c>
      <c r="D72" s="16" t="s">
        <v>74</v>
      </c>
      <c r="E72" s="16" t="s">
        <v>359</v>
      </c>
      <c r="F72" s="17" t="s">
        <v>360</v>
      </c>
      <c r="G72" s="17" t="s">
        <v>77</v>
      </c>
      <c r="H72" s="17" t="s">
        <v>106</v>
      </c>
      <c r="I72" s="16" t="s">
        <v>121</v>
      </c>
      <c r="J72" s="13" t="n">
        <v>98</v>
      </c>
      <c r="K72" s="13" t="n">
        <v>11</v>
      </c>
      <c r="L72" s="13" t="s">
        <v>80</v>
      </c>
      <c r="M72" s="13" t="s">
        <v>81</v>
      </c>
      <c r="N72" s="13" t="s">
        <v>81</v>
      </c>
      <c r="O72" s="16" t="s">
        <v>361</v>
      </c>
      <c r="P72" s="16" t="s">
        <v>362</v>
      </c>
      <c r="Q72" s="13" t="s">
        <v>98</v>
      </c>
      <c r="R72" s="18" t="s">
        <v>85</v>
      </c>
      <c r="S72" s="18"/>
    </row>
    <row r="73" customFormat="false" ht="15" hidden="false" customHeight="false" outlineLevel="0" collapsed="false">
      <c r="A73" s="13" t="n">
        <v>69</v>
      </c>
      <c r="B73" s="14" t="s">
        <v>363</v>
      </c>
      <c r="C73" s="19" t="s">
        <v>26</v>
      </c>
      <c r="D73" s="16" t="s">
        <v>74</v>
      </c>
      <c r="E73" s="16" t="s">
        <v>184</v>
      </c>
      <c r="F73" s="17" t="s">
        <v>364</v>
      </c>
      <c r="G73" s="17" t="s">
        <v>77</v>
      </c>
      <c r="H73" s="17" t="s">
        <v>89</v>
      </c>
      <c r="I73" s="16" t="s">
        <v>121</v>
      </c>
      <c r="J73" s="13" t="n">
        <v>200</v>
      </c>
      <c r="K73" s="13" t="n">
        <v>16</v>
      </c>
      <c r="L73" s="13" t="s">
        <v>80</v>
      </c>
      <c r="M73" s="13" t="s">
        <v>81</v>
      </c>
      <c r="N73" s="13" t="s">
        <v>81</v>
      </c>
      <c r="O73" s="16" t="s">
        <v>82</v>
      </c>
      <c r="P73" s="16" t="s">
        <v>365</v>
      </c>
      <c r="Q73" s="13" t="s">
        <v>98</v>
      </c>
      <c r="R73" s="18" t="s">
        <v>85</v>
      </c>
      <c r="S73" s="18"/>
    </row>
    <row r="74" customFormat="false" ht="15" hidden="false" customHeight="false" outlineLevel="0" collapsed="false">
      <c r="A74" s="13" t="n">
        <v>70</v>
      </c>
      <c r="B74" s="14" t="s">
        <v>366</v>
      </c>
      <c r="C74" s="19" t="s">
        <v>26</v>
      </c>
      <c r="D74" s="16" t="s">
        <v>74</v>
      </c>
      <c r="E74" s="16" t="s">
        <v>191</v>
      </c>
      <c r="F74" s="17" t="s">
        <v>367</v>
      </c>
      <c r="G74" s="17" t="s">
        <v>77</v>
      </c>
      <c r="H74" s="17" t="s">
        <v>106</v>
      </c>
      <c r="I74" s="16" t="s">
        <v>121</v>
      </c>
      <c r="J74" s="13" t="n">
        <v>8</v>
      </c>
      <c r="K74" s="13" t="n">
        <v>3</v>
      </c>
      <c r="L74" s="13" t="s">
        <v>80</v>
      </c>
      <c r="M74" s="13" t="s">
        <v>81</v>
      </c>
      <c r="N74" s="13" t="s">
        <v>81</v>
      </c>
      <c r="O74" s="16" t="s">
        <v>82</v>
      </c>
      <c r="P74" s="16" t="s">
        <v>368</v>
      </c>
      <c r="Q74" s="13" t="s">
        <v>91</v>
      </c>
      <c r="R74" s="18" t="s">
        <v>85</v>
      </c>
      <c r="S74" s="18"/>
    </row>
    <row r="75" customFormat="false" ht="23.85" hidden="false" customHeight="false" outlineLevel="0" collapsed="false">
      <c r="A75" s="13" t="n">
        <v>71</v>
      </c>
      <c r="B75" s="14" t="s">
        <v>369</v>
      </c>
      <c r="C75" s="19" t="s">
        <v>26</v>
      </c>
      <c r="D75" s="16" t="s">
        <v>74</v>
      </c>
      <c r="E75" s="16" t="s">
        <v>370</v>
      </c>
      <c r="F75" s="17" t="s">
        <v>371</v>
      </c>
      <c r="G75" s="17" t="s">
        <v>77</v>
      </c>
      <c r="H75" s="17" t="s">
        <v>106</v>
      </c>
      <c r="I75" s="16" t="s">
        <v>121</v>
      </c>
      <c r="J75" s="13" t="n">
        <v>291</v>
      </c>
      <c r="K75" s="13" t="n">
        <v>72</v>
      </c>
      <c r="L75" s="13" t="s">
        <v>80</v>
      </c>
      <c r="M75" s="13" t="s">
        <v>81</v>
      </c>
      <c r="N75" s="13" t="s">
        <v>81</v>
      </c>
      <c r="O75" s="16" t="s">
        <v>372</v>
      </c>
      <c r="P75" s="16" t="s">
        <v>373</v>
      </c>
      <c r="Q75" s="13" t="s">
        <v>98</v>
      </c>
      <c r="R75" s="18" t="s">
        <v>85</v>
      </c>
      <c r="S75" s="18"/>
    </row>
    <row r="76" customFormat="false" ht="15" hidden="false" customHeight="false" outlineLevel="0" collapsed="false">
      <c r="A76" s="13" t="n">
        <v>72</v>
      </c>
      <c r="B76" s="14" t="s">
        <v>374</v>
      </c>
      <c r="C76" s="15" t="s">
        <v>24</v>
      </c>
      <c r="D76" s="16" t="s">
        <v>74</v>
      </c>
      <c r="E76" s="16" t="s">
        <v>114</v>
      </c>
      <c r="F76" s="17" t="s">
        <v>375</v>
      </c>
      <c r="G76" s="17" t="s">
        <v>77</v>
      </c>
      <c r="H76" s="17" t="s">
        <v>89</v>
      </c>
      <c r="I76" s="17" t="s">
        <v>79</v>
      </c>
      <c r="J76" s="13" t="n">
        <v>44</v>
      </c>
      <c r="K76" s="13" t="n">
        <v>7</v>
      </c>
      <c r="L76" s="13" t="s">
        <v>80</v>
      </c>
      <c r="M76" s="13" t="s">
        <v>81</v>
      </c>
      <c r="N76" s="13" t="s">
        <v>96</v>
      </c>
      <c r="O76" s="16" t="s">
        <v>82</v>
      </c>
      <c r="P76" s="16" t="s">
        <v>376</v>
      </c>
      <c r="Q76" s="13" t="s">
        <v>84</v>
      </c>
      <c r="R76" s="18" t="s">
        <v>85</v>
      </c>
      <c r="S76" s="18"/>
    </row>
    <row r="77" customFormat="false" ht="23.85" hidden="false" customHeight="false" outlineLevel="0" collapsed="false">
      <c r="A77" s="13" t="n">
        <v>73</v>
      </c>
      <c r="B77" s="14" t="s">
        <v>377</v>
      </c>
      <c r="C77" s="20" t="s">
        <v>28</v>
      </c>
      <c r="D77" s="16" t="s">
        <v>245</v>
      </c>
      <c r="E77" s="16" t="s">
        <v>241</v>
      </c>
      <c r="F77" s="17" t="s">
        <v>378</v>
      </c>
      <c r="G77" s="17" t="s">
        <v>77</v>
      </c>
      <c r="H77" s="17" t="s">
        <v>89</v>
      </c>
      <c r="I77" s="17" t="s">
        <v>79</v>
      </c>
      <c r="J77" s="13" t="n">
        <v>700</v>
      </c>
      <c r="K77" s="13" t="n">
        <v>103</v>
      </c>
      <c r="L77" s="13" t="s">
        <v>80</v>
      </c>
      <c r="M77" s="13" t="s">
        <v>81</v>
      </c>
      <c r="N77" s="13" t="s">
        <v>81</v>
      </c>
      <c r="O77" s="16" t="s">
        <v>82</v>
      </c>
      <c r="P77" s="16" t="s">
        <v>379</v>
      </c>
      <c r="Q77" s="13" t="s">
        <v>98</v>
      </c>
      <c r="R77" s="18" t="s">
        <v>85</v>
      </c>
      <c r="S77" s="18"/>
    </row>
    <row r="78" customFormat="false" ht="15" hidden="false" customHeight="false" outlineLevel="0" collapsed="false">
      <c r="A78" s="13" t="n">
        <v>74</v>
      </c>
      <c r="B78" s="14" t="s">
        <v>380</v>
      </c>
      <c r="C78" s="20" t="s">
        <v>28</v>
      </c>
      <c r="D78" s="16" t="s">
        <v>265</v>
      </c>
      <c r="E78" s="16" t="s">
        <v>241</v>
      </c>
      <c r="F78" s="17" t="s">
        <v>381</v>
      </c>
      <c r="G78" s="17" t="s">
        <v>77</v>
      </c>
      <c r="H78" s="17" t="s">
        <v>89</v>
      </c>
      <c r="I78" s="17" t="s">
        <v>79</v>
      </c>
      <c r="J78" s="13" t="n">
        <v>221</v>
      </c>
      <c r="K78" s="13" t="n">
        <v>38</v>
      </c>
      <c r="L78" s="13" t="s">
        <v>107</v>
      </c>
      <c r="M78" s="13" t="s">
        <v>81</v>
      </c>
      <c r="N78" s="13" t="s">
        <v>96</v>
      </c>
      <c r="O78" s="16" t="s">
        <v>82</v>
      </c>
      <c r="P78" s="16" t="s">
        <v>382</v>
      </c>
      <c r="Q78" s="13" t="s">
        <v>91</v>
      </c>
      <c r="R78" s="18" t="s">
        <v>85</v>
      </c>
      <c r="S78" s="18"/>
    </row>
    <row r="79" customFormat="false" ht="15" hidden="false" customHeight="false" outlineLevel="0" collapsed="false">
      <c r="A79" s="13" t="n">
        <v>75</v>
      </c>
      <c r="B79" s="14" t="s">
        <v>383</v>
      </c>
      <c r="C79" s="20" t="s">
        <v>28</v>
      </c>
      <c r="D79" s="16" t="s">
        <v>265</v>
      </c>
      <c r="E79" s="16" t="s">
        <v>384</v>
      </c>
      <c r="F79" s="17" t="s">
        <v>385</v>
      </c>
      <c r="G79" s="17" t="s">
        <v>77</v>
      </c>
      <c r="H79" s="17" t="s">
        <v>89</v>
      </c>
      <c r="I79" s="16" t="s">
        <v>121</v>
      </c>
      <c r="J79" s="13" t="n">
        <v>547</v>
      </c>
      <c r="K79" s="13" t="n">
        <v>104</v>
      </c>
      <c r="L79" s="13" t="s">
        <v>80</v>
      </c>
      <c r="M79" s="13" t="s">
        <v>96</v>
      </c>
      <c r="N79" s="13" t="s">
        <v>96</v>
      </c>
      <c r="O79" s="16" t="s">
        <v>82</v>
      </c>
      <c r="P79" s="16" t="s">
        <v>386</v>
      </c>
      <c r="Q79" s="13" t="s">
        <v>91</v>
      </c>
      <c r="R79" s="18" t="s">
        <v>85</v>
      </c>
      <c r="S79" s="18"/>
    </row>
    <row r="80" customFormat="false" ht="15" hidden="false" customHeight="false" outlineLevel="0" collapsed="false">
      <c r="A80" s="13" t="n">
        <v>76</v>
      </c>
      <c r="B80" s="14" t="s">
        <v>387</v>
      </c>
      <c r="C80" s="20" t="s">
        <v>28</v>
      </c>
      <c r="D80" s="16" t="s">
        <v>265</v>
      </c>
      <c r="E80" s="16" t="s">
        <v>241</v>
      </c>
      <c r="F80" s="17" t="s">
        <v>388</v>
      </c>
      <c r="G80" s="17" t="s">
        <v>77</v>
      </c>
      <c r="H80" s="17" t="s">
        <v>89</v>
      </c>
      <c r="I80" s="16" t="s">
        <v>121</v>
      </c>
      <c r="J80" s="13" t="n">
        <v>52</v>
      </c>
      <c r="K80" s="13" t="n">
        <v>16</v>
      </c>
      <c r="L80" s="13" t="s">
        <v>122</v>
      </c>
      <c r="M80" s="13" t="s">
        <v>96</v>
      </c>
      <c r="N80" s="13" t="s">
        <v>96</v>
      </c>
      <c r="O80" s="16" t="s">
        <v>82</v>
      </c>
      <c r="P80" s="16" t="s">
        <v>389</v>
      </c>
      <c r="Q80" s="13" t="s">
        <v>91</v>
      </c>
      <c r="R80" s="18" t="s">
        <v>85</v>
      </c>
      <c r="S80" s="18"/>
    </row>
    <row r="81" customFormat="false" ht="23.85" hidden="false" customHeight="false" outlineLevel="0" collapsed="false">
      <c r="A81" s="13" t="n">
        <v>77</v>
      </c>
      <c r="B81" s="14" t="s">
        <v>390</v>
      </c>
      <c r="C81" s="20" t="s">
        <v>28</v>
      </c>
      <c r="D81" s="16" t="s">
        <v>100</v>
      </c>
      <c r="E81" s="16" t="s">
        <v>391</v>
      </c>
      <c r="F81" s="17" t="s">
        <v>392</v>
      </c>
      <c r="G81" s="17" t="s">
        <v>77</v>
      </c>
      <c r="H81" s="17" t="s">
        <v>106</v>
      </c>
      <c r="I81" s="17" t="s">
        <v>79</v>
      </c>
      <c r="J81" s="13" t="n">
        <v>66</v>
      </c>
      <c r="K81" s="13" t="n">
        <v>12</v>
      </c>
      <c r="L81" s="13" t="s">
        <v>80</v>
      </c>
      <c r="M81" s="13" t="s">
        <v>96</v>
      </c>
      <c r="N81" s="13" t="s">
        <v>96</v>
      </c>
      <c r="O81" s="16" t="s">
        <v>82</v>
      </c>
      <c r="P81" s="16" t="s">
        <v>393</v>
      </c>
      <c r="Q81" s="13" t="s">
        <v>98</v>
      </c>
      <c r="R81" s="18" t="s">
        <v>85</v>
      </c>
      <c r="S81" s="18"/>
    </row>
    <row r="82" customFormat="false" ht="23.85" hidden="false" customHeight="false" outlineLevel="0" collapsed="false">
      <c r="A82" s="13" t="n">
        <v>78</v>
      </c>
      <c r="B82" s="14" t="s">
        <v>394</v>
      </c>
      <c r="C82" s="20" t="s">
        <v>28</v>
      </c>
      <c r="D82" s="16" t="s">
        <v>226</v>
      </c>
      <c r="E82" s="16" t="s">
        <v>241</v>
      </c>
      <c r="F82" s="17" t="s">
        <v>395</v>
      </c>
      <c r="G82" s="17" t="s">
        <v>77</v>
      </c>
      <c r="H82" s="17" t="s">
        <v>89</v>
      </c>
      <c r="I82" s="17" t="s">
        <v>79</v>
      </c>
      <c r="J82" s="13" t="n">
        <v>209</v>
      </c>
      <c r="K82" s="13" t="n">
        <v>50</v>
      </c>
      <c r="L82" s="13" t="s">
        <v>80</v>
      </c>
      <c r="M82" s="13" t="s">
        <v>96</v>
      </c>
      <c r="N82" s="13" t="s">
        <v>81</v>
      </c>
      <c r="O82" s="16" t="s">
        <v>82</v>
      </c>
      <c r="P82" s="16" t="s">
        <v>396</v>
      </c>
      <c r="Q82" s="13" t="s">
        <v>91</v>
      </c>
      <c r="R82" s="18" t="s">
        <v>85</v>
      </c>
      <c r="S82" s="18"/>
    </row>
    <row r="83" customFormat="false" ht="15" hidden="false" customHeight="false" outlineLevel="0" collapsed="false">
      <c r="A83" s="13" t="n">
        <v>79</v>
      </c>
      <c r="B83" s="14" t="s">
        <v>397</v>
      </c>
      <c r="C83" s="20" t="s">
        <v>28</v>
      </c>
      <c r="D83" s="16" t="s">
        <v>74</v>
      </c>
      <c r="E83" s="16" t="s">
        <v>241</v>
      </c>
      <c r="F83" s="17" t="s">
        <v>398</v>
      </c>
      <c r="G83" s="17" t="s">
        <v>77</v>
      </c>
      <c r="H83" s="17" t="s">
        <v>89</v>
      </c>
      <c r="I83" s="16" t="s">
        <v>121</v>
      </c>
      <c r="J83" s="13" t="n">
        <v>280</v>
      </c>
      <c r="K83" s="13" t="n">
        <v>37</v>
      </c>
      <c r="L83" s="13" t="s">
        <v>80</v>
      </c>
      <c r="M83" s="13" t="s">
        <v>96</v>
      </c>
      <c r="N83" s="13" t="s">
        <v>81</v>
      </c>
      <c r="O83" s="16" t="s">
        <v>82</v>
      </c>
      <c r="P83" s="16" t="s">
        <v>399</v>
      </c>
      <c r="Q83" s="13" t="s">
        <v>91</v>
      </c>
      <c r="R83" s="18" t="s">
        <v>85</v>
      </c>
      <c r="S83" s="18"/>
    </row>
    <row r="84" customFormat="false" ht="23.85" hidden="false" customHeight="false" outlineLevel="0" collapsed="false">
      <c r="A84" s="13" t="n">
        <v>80</v>
      </c>
      <c r="B84" s="14" t="s">
        <v>400</v>
      </c>
      <c r="C84" s="20" t="s">
        <v>28</v>
      </c>
      <c r="D84" s="16" t="s">
        <v>401</v>
      </c>
      <c r="E84" s="16" t="s">
        <v>402</v>
      </c>
      <c r="F84" s="17" t="s">
        <v>403</v>
      </c>
      <c r="G84" s="17" t="s">
        <v>77</v>
      </c>
      <c r="H84" s="17" t="s">
        <v>106</v>
      </c>
      <c r="I84" s="16" t="s">
        <v>121</v>
      </c>
      <c r="J84" s="13" t="n">
        <v>1895</v>
      </c>
      <c r="K84" s="13" t="n">
        <v>680</v>
      </c>
      <c r="L84" s="13" t="s">
        <v>107</v>
      </c>
      <c r="M84" s="13" t="s">
        <v>96</v>
      </c>
      <c r="N84" s="13" t="s">
        <v>81</v>
      </c>
      <c r="O84" s="16" t="s">
        <v>404</v>
      </c>
      <c r="P84" s="16" t="s">
        <v>405</v>
      </c>
      <c r="Q84" s="13" t="s">
        <v>98</v>
      </c>
      <c r="R84" s="18" t="s">
        <v>85</v>
      </c>
      <c r="S84" s="18"/>
    </row>
    <row r="85" customFormat="false" ht="15" hidden="false" customHeight="false" outlineLevel="0" collapsed="false">
      <c r="A85" s="13" t="n">
        <v>81</v>
      </c>
      <c r="B85" s="14" t="s">
        <v>406</v>
      </c>
      <c r="C85" s="20" t="s">
        <v>28</v>
      </c>
      <c r="D85" s="16" t="s">
        <v>74</v>
      </c>
      <c r="E85" s="16" t="s">
        <v>407</v>
      </c>
      <c r="F85" s="17" t="s">
        <v>408</v>
      </c>
      <c r="G85" s="17" t="s">
        <v>77</v>
      </c>
      <c r="H85" s="17" t="s">
        <v>89</v>
      </c>
      <c r="I85" s="16" t="s">
        <v>121</v>
      </c>
      <c r="J85" s="13" t="n">
        <v>4724</v>
      </c>
      <c r="K85" s="13" t="n">
        <v>883</v>
      </c>
      <c r="L85" s="13" t="s">
        <v>80</v>
      </c>
      <c r="M85" s="13" t="s">
        <v>81</v>
      </c>
      <c r="N85" s="13" t="s">
        <v>81</v>
      </c>
      <c r="O85" s="16" t="s">
        <v>82</v>
      </c>
      <c r="P85" s="16" t="s">
        <v>409</v>
      </c>
      <c r="Q85" s="13" t="s">
        <v>91</v>
      </c>
      <c r="R85" s="18" t="s">
        <v>85</v>
      </c>
      <c r="S85" s="18"/>
    </row>
    <row r="86" customFormat="false" ht="23.85" hidden="false" customHeight="false" outlineLevel="0" collapsed="false">
      <c r="A86" s="13" t="n">
        <v>82</v>
      </c>
      <c r="B86" s="14" t="s">
        <v>410</v>
      </c>
      <c r="C86" s="20" t="s">
        <v>28</v>
      </c>
      <c r="D86" s="16" t="s">
        <v>74</v>
      </c>
      <c r="E86" s="16" t="s">
        <v>411</v>
      </c>
      <c r="F86" s="17" t="s">
        <v>412</v>
      </c>
      <c r="G86" s="17" t="s">
        <v>77</v>
      </c>
      <c r="H86" s="17" t="s">
        <v>78</v>
      </c>
      <c r="I86" s="16" t="s">
        <v>121</v>
      </c>
      <c r="J86" s="13" t="n">
        <v>971</v>
      </c>
      <c r="K86" s="13" t="n">
        <v>136</v>
      </c>
      <c r="L86" s="13" t="s">
        <v>80</v>
      </c>
      <c r="M86" s="13" t="s">
        <v>81</v>
      </c>
      <c r="N86" s="13" t="s">
        <v>81</v>
      </c>
      <c r="O86" s="16" t="s">
        <v>404</v>
      </c>
      <c r="P86" s="16" t="s">
        <v>413</v>
      </c>
      <c r="Q86" s="13" t="s">
        <v>98</v>
      </c>
      <c r="R86" s="18" t="s">
        <v>85</v>
      </c>
      <c r="S86" s="18"/>
    </row>
    <row r="87" customFormat="false" ht="23.85" hidden="false" customHeight="false" outlineLevel="0" collapsed="false">
      <c r="A87" s="13" t="n">
        <v>83</v>
      </c>
      <c r="B87" s="14" t="s">
        <v>414</v>
      </c>
      <c r="C87" s="20" t="s">
        <v>28</v>
      </c>
      <c r="D87" s="16" t="s">
        <v>74</v>
      </c>
      <c r="E87" s="16" t="s">
        <v>415</v>
      </c>
      <c r="F87" s="17" t="s">
        <v>416</v>
      </c>
      <c r="G87" s="17" t="s">
        <v>77</v>
      </c>
      <c r="H87" s="17" t="s">
        <v>89</v>
      </c>
      <c r="I87" s="16" t="s">
        <v>121</v>
      </c>
      <c r="J87" s="13" t="n">
        <v>657</v>
      </c>
      <c r="K87" s="13" t="n">
        <v>76</v>
      </c>
      <c r="L87" s="13" t="s">
        <v>80</v>
      </c>
      <c r="M87" s="13" t="s">
        <v>96</v>
      </c>
      <c r="N87" s="13" t="s">
        <v>81</v>
      </c>
      <c r="O87" s="16" t="s">
        <v>417</v>
      </c>
      <c r="P87" s="16" t="s">
        <v>418</v>
      </c>
      <c r="Q87" s="13" t="s">
        <v>98</v>
      </c>
      <c r="R87" s="18" t="s">
        <v>85</v>
      </c>
      <c r="S87" s="18"/>
    </row>
    <row r="88" customFormat="false" ht="15" hidden="false" customHeight="false" outlineLevel="0" collapsed="false">
      <c r="A88" s="13" t="n">
        <v>84</v>
      </c>
      <c r="B88" s="14" t="s">
        <v>419</v>
      </c>
      <c r="C88" s="20" t="s">
        <v>28</v>
      </c>
      <c r="D88" s="16" t="s">
        <v>74</v>
      </c>
      <c r="E88" s="16" t="s">
        <v>402</v>
      </c>
      <c r="F88" s="17" t="s">
        <v>420</v>
      </c>
      <c r="G88" s="17" t="s">
        <v>77</v>
      </c>
      <c r="H88" s="17" t="s">
        <v>106</v>
      </c>
      <c r="I88" s="17" t="s">
        <v>79</v>
      </c>
      <c r="J88" s="13" t="n">
        <v>1002</v>
      </c>
      <c r="K88" s="13" t="n">
        <v>122</v>
      </c>
      <c r="L88" s="13" t="s">
        <v>80</v>
      </c>
      <c r="M88" s="13" t="s">
        <v>96</v>
      </c>
      <c r="N88" s="13" t="s">
        <v>81</v>
      </c>
      <c r="O88" s="16" t="s">
        <v>404</v>
      </c>
      <c r="P88" s="16" t="s">
        <v>421</v>
      </c>
      <c r="Q88" s="13" t="s">
        <v>98</v>
      </c>
      <c r="R88" s="18" t="s">
        <v>85</v>
      </c>
      <c r="S88" s="18"/>
    </row>
    <row r="89" customFormat="false" ht="23.85" hidden="false" customHeight="false" outlineLevel="0" collapsed="false">
      <c r="A89" s="13" t="n">
        <v>85</v>
      </c>
      <c r="B89" s="14" t="s">
        <v>422</v>
      </c>
      <c r="C89" s="20" t="s">
        <v>28</v>
      </c>
      <c r="D89" s="16" t="s">
        <v>74</v>
      </c>
      <c r="E89" s="16" t="s">
        <v>402</v>
      </c>
      <c r="F89" s="17" t="s">
        <v>423</v>
      </c>
      <c r="G89" s="17" t="s">
        <v>77</v>
      </c>
      <c r="H89" s="17" t="s">
        <v>78</v>
      </c>
      <c r="I89" s="16" t="s">
        <v>121</v>
      </c>
      <c r="J89" s="13" t="n">
        <v>110</v>
      </c>
      <c r="K89" s="13" t="n">
        <v>24</v>
      </c>
      <c r="L89" s="13" t="s">
        <v>210</v>
      </c>
      <c r="M89" s="13" t="s">
        <v>96</v>
      </c>
      <c r="N89" s="13" t="s">
        <v>81</v>
      </c>
      <c r="O89" s="16" t="s">
        <v>404</v>
      </c>
      <c r="P89" s="16" t="s">
        <v>424</v>
      </c>
      <c r="Q89" s="13" t="s">
        <v>98</v>
      </c>
      <c r="R89" s="18" t="s">
        <v>85</v>
      </c>
      <c r="S89" s="18"/>
    </row>
    <row r="90" customFormat="false" ht="15" hidden="false" customHeight="false" outlineLevel="0" collapsed="false">
      <c r="A90" s="13" t="n">
        <v>86</v>
      </c>
      <c r="B90" s="14" t="s">
        <v>425</v>
      </c>
      <c r="C90" s="20" t="s">
        <v>28</v>
      </c>
      <c r="D90" s="16" t="s">
        <v>74</v>
      </c>
      <c r="E90" s="16" t="s">
        <v>426</v>
      </c>
      <c r="F90" s="17" t="s">
        <v>427</v>
      </c>
      <c r="G90" s="17" t="s">
        <v>77</v>
      </c>
      <c r="H90" s="17" t="s">
        <v>89</v>
      </c>
      <c r="I90" s="17" t="s">
        <v>79</v>
      </c>
      <c r="J90" s="13" t="n">
        <v>2172</v>
      </c>
      <c r="K90" s="13" t="n">
        <v>224</v>
      </c>
      <c r="L90" s="13" t="s">
        <v>80</v>
      </c>
      <c r="M90" s="13" t="s">
        <v>81</v>
      </c>
      <c r="N90" s="13" t="s">
        <v>81</v>
      </c>
      <c r="O90" s="16" t="s">
        <v>82</v>
      </c>
      <c r="P90" s="16" t="s">
        <v>428</v>
      </c>
      <c r="Q90" s="13" t="s">
        <v>91</v>
      </c>
      <c r="R90" s="18" t="s">
        <v>85</v>
      </c>
      <c r="S90" s="18"/>
    </row>
    <row r="91" customFormat="false" ht="23.85" hidden="false" customHeight="false" outlineLevel="0" collapsed="false">
      <c r="A91" s="13" t="n">
        <v>87</v>
      </c>
      <c r="B91" s="14" t="s">
        <v>429</v>
      </c>
      <c r="C91" s="20" t="s">
        <v>28</v>
      </c>
      <c r="D91" s="16" t="s">
        <v>74</v>
      </c>
      <c r="E91" s="16" t="s">
        <v>339</v>
      </c>
      <c r="F91" s="17" t="s">
        <v>430</v>
      </c>
      <c r="G91" s="17" t="s">
        <v>77</v>
      </c>
      <c r="H91" s="17" t="s">
        <v>106</v>
      </c>
      <c r="I91" s="16" t="s">
        <v>121</v>
      </c>
      <c r="J91" s="13" t="n">
        <v>752</v>
      </c>
      <c r="K91" s="13" t="n">
        <v>92</v>
      </c>
      <c r="L91" s="13" t="s">
        <v>80</v>
      </c>
      <c r="M91" s="13" t="s">
        <v>81</v>
      </c>
      <c r="N91" s="13" t="s">
        <v>81</v>
      </c>
      <c r="O91" s="16" t="s">
        <v>431</v>
      </c>
      <c r="P91" s="16" t="s">
        <v>432</v>
      </c>
      <c r="Q91" s="13" t="s">
        <v>91</v>
      </c>
      <c r="R91" s="18" t="s">
        <v>85</v>
      </c>
      <c r="S91" s="18"/>
    </row>
    <row r="92" customFormat="false" ht="15" hidden="false" customHeight="false" outlineLevel="0" collapsed="false">
      <c r="A92" s="13" t="n">
        <v>88</v>
      </c>
      <c r="B92" s="14" t="s">
        <v>433</v>
      </c>
      <c r="C92" s="20" t="s">
        <v>28</v>
      </c>
      <c r="D92" s="16" t="s">
        <v>74</v>
      </c>
      <c r="E92" s="16" t="s">
        <v>407</v>
      </c>
      <c r="F92" s="17" t="s">
        <v>434</v>
      </c>
      <c r="G92" s="17" t="s">
        <v>77</v>
      </c>
      <c r="H92" s="17" t="s">
        <v>106</v>
      </c>
      <c r="I92" s="16" t="s">
        <v>121</v>
      </c>
      <c r="J92" s="13" t="n">
        <v>702</v>
      </c>
      <c r="K92" s="13" t="n">
        <v>65</v>
      </c>
      <c r="L92" s="13" t="s">
        <v>80</v>
      </c>
      <c r="M92" s="13" t="s">
        <v>81</v>
      </c>
      <c r="N92" s="13" t="s">
        <v>81</v>
      </c>
      <c r="O92" s="16" t="s">
        <v>435</v>
      </c>
      <c r="P92" s="16" t="s">
        <v>436</v>
      </c>
      <c r="Q92" s="13" t="s">
        <v>98</v>
      </c>
      <c r="R92" s="18" t="s">
        <v>85</v>
      </c>
      <c r="S92" s="18"/>
    </row>
    <row r="93" customFormat="false" ht="15" hidden="false" customHeight="false" outlineLevel="0" collapsed="false">
      <c r="A93" s="13" t="n">
        <v>89</v>
      </c>
      <c r="B93" s="14" t="s">
        <v>437</v>
      </c>
      <c r="C93" s="20" t="s">
        <v>28</v>
      </c>
      <c r="D93" s="16" t="s">
        <v>74</v>
      </c>
      <c r="E93" s="16" t="s">
        <v>438</v>
      </c>
      <c r="F93" s="17" t="s">
        <v>439</v>
      </c>
      <c r="G93" s="17" t="s">
        <v>77</v>
      </c>
      <c r="H93" s="17" t="s">
        <v>89</v>
      </c>
      <c r="I93" s="17" t="s">
        <v>79</v>
      </c>
      <c r="J93" s="13" t="n">
        <v>346</v>
      </c>
      <c r="K93" s="13" t="n">
        <v>54</v>
      </c>
      <c r="L93" s="13" t="s">
        <v>80</v>
      </c>
      <c r="M93" s="13" t="s">
        <v>81</v>
      </c>
      <c r="N93" s="13" t="s">
        <v>96</v>
      </c>
      <c r="O93" s="16" t="s">
        <v>82</v>
      </c>
      <c r="P93" s="16" t="s">
        <v>440</v>
      </c>
      <c r="Q93" s="13" t="s">
        <v>98</v>
      </c>
      <c r="R93" s="18" t="s">
        <v>85</v>
      </c>
      <c r="S93" s="18"/>
    </row>
    <row r="94" customFormat="false" ht="15" hidden="false" customHeight="false" outlineLevel="0" collapsed="false">
      <c r="A94" s="13" t="n">
        <v>90</v>
      </c>
      <c r="B94" s="14" t="s">
        <v>441</v>
      </c>
      <c r="C94" s="20" t="s">
        <v>28</v>
      </c>
      <c r="D94" s="16" t="s">
        <v>74</v>
      </c>
      <c r="E94" s="16" t="s">
        <v>407</v>
      </c>
      <c r="F94" s="17" t="s">
        <v>442</v>
      </c>
      <c r="G94" s="17" t="s">
        <v>77</v>
      </c>
      <c r="H94" s="17" t="s">
        <v>89</v>
      </c>
      <c r="I94" s="17" t="s">
        <v>79</v>
      </c>
      <c r="J94" s="13" t="n">
        <v>432</v>
      </c>
      <c r="K94" s="13" t="n">
        <v>31</v>
      </c>
      <c r="L94" s="13" t="s">
        <v>80</v>
      </c>
      <c r="M94" s="13" t="s">
        <v>81</v>
      </c>
      <c r="N94" s="13" t="s">
        <v>81</v>
      </c>
      <c r="O94" s="16" t="s">
        <v>82</v>
      </c>
      <c r="P94" s="16" t="s">
        <v>443</v>
      </c>
      <c r="Q94" s="13" t="s">
        <v>98</v>
      </c>
      <c r="R94" s="18" t="s">
        <v>85</v>
      </c>
      <c r="S94" s="18"/>
    </row>
    <row r="95" customFormat="false" ht="15" hidden="false" customHeight="false" outlineLevel="0" collapsed="false">
      <c r="A95" s="13" t="n">
        <v>91</v>
      </c>
      <c r="B95" s="14" t="s">
        <v>444</v>
      </c>
      <c r="C95" s="20" t="s">
        <v>28</v>
      </c>
      <c r="D95" s="16" t="s">
        <v>74</v>
      </c>
      <c r="E95" s="16" t="s">
        <v>407</v>
      </c>
      <c r="F95" s="17" t="s">
        <v>445</v>
      </c>
      <c r="G95" s="17" t="s">
        <v>77</v>
      </c>
      <c r="H95" s="17" t="s">
        <v>78</v>
      </c>
      <c r="I95" s="17" t="s">
        <v>79</v>
      </c>
      <c r="J95" s="13" t="n">
        <v>522</v>
      </c>
      <c r="K95" s="13" t="n">
        <v>51</v>
      </c>
      <c r="L95" s="13" t="s">
        <v>80</v>
      </c>
      <c r="M95" s="13" t="s">
        <v>81</v>
      </c>
      <c r="N95" s="13" t="s">
        <v>81</v>
      </c>
      <c r="O95" s="16" t="s">
        <v>82</v>
      </c>
      <c r="P95" s="16" t="s">
        <v>446</v>
      </c>
      <c r="Q95" s="13" t="s">
        <v>98</v>
      </c>
      <c r="R95" s="18" t="s">
        <v>85</v>
      </c>
      <c r="S95" s="18"/>
    </row>
    <row r="96" customFormat="false" ht="15" hidden="false" customHeight="false" outlineLevel="0" collapsed="false">
      <c r="A96" s="13" t="n">
        <v>92</v>
      </c>
      <c r="B96" s="14" t="s">
        <v>447</v>
      </c>
      <c r="C96" s="20" t="s">
        <v>28</v>
      </c>
      <c r="D96" s="16" t="s">
        <v>74</v>
      </c>
      <c r="E96" s="16" t="s">
        <v>339</v>
      </c>
      <c r="F96" s="17" t="s">
        <v>448</v>
      </c>
      <c r="G96" s="17" t="s">
        <v>77</v>
      </c>
      <c r="H96" s="17" t="s">
        <v>89</v>
      </c>
      <c r="I96" s="17" t="s">
        <v>177</v>
      </c>
      <c r="J96" s="13" t="n">
        <v>496</v>
      </c>
      <c r="K96" s="13" t="n">
        <v>78</v>
      </c>
      <c r="L96" s="13" t="s">
        <v>80</v>
      </c>
      <c r="M96" s="13" t="s">
        <v>81</v>
      </c>
      <c r="N96" s="13" t="s">
        <v>81</v>
      </c>
      <c r="O96" s="16" t="s">
        <v>82</v>
      </c>
      <c r="P96" s="16" t="s">
        <v>449</v>
      </c>
      <c r="Q96" s="13" t="s">
        <v>91</v>
      </c>
      <c r="R96" s="18" t="s">
        <v>85</v>
      </c>
      <c r="S96" s="18"/>
    </row>
    <row r="97" customFormat="false" ht="15" hidden="false" customHeight="false" outlineLevel="0" collapsed="false">
      <c r="A97" s="13" t="n">
        <v>93</v>
      </c>
      <c r="B97" s="14" t="s">
        <v>450</v>
      </c>
      <c r="C97" s="20" t="s">
        <v>28</v>
      </c>
      <c r="D97" s="16" t="s">
        <v>74</v>
      </c>
      <c r="E97" s="16" t="s">
        <v>451</v>
      </c>
      <c r="F97" s="17" t="s">
        <v>452</v>
      </c>
      <c r="G97" s="17" t="s">
        <v>77</v>
      </c>
      <c r="H97" s="17" t="s">
        <v>89</v>
      </c>
      <c r="I97" s="17" t="s">
        <v>79</v>
      </c>
      <c r="J97" s="13" t="n">
        <v>385</v>
      </c>
      <c r="K97" s="13" t="n">
        <v>34</v>
      </c>
      <c r="L97" s="13" t="s">
        <v>80</v>
      </c>
      <c r="M97" s="13" t="s">
        <v>81</v>
      </c>
      <c r="N97" s="13" t="s">
        <v>96</v>
      </c>
      <c r="O97" s="16" t="s">
        <v>82</v>
      </c>
      <c r="P97" s="16" t="s">
        <v>453</v>
      </c>
      <c r="Q97" s="13" t="s">
        <v>98</v>
      </c>
      <c r="R97" s="18" t="s">
        <v>85</v>
      </c>
      <c r="S97" s="18"/>
    </row>
    <row r="98" customFormat="false" ht="15" hidden="false" customHeight="false" outlineLevel="0" collapsed="false">
      <c r="A98" s="13" t="n">
        <v>94</v>
      </c>
      <c r="B98" s="14" t="s">
        <v>454</v>
      </c>
      <c r="C98" s="20" t="s">
        <v>28</v>
      </c>
      <c r="D98" s="16" t="s">
        <v>74</v>
      </c>
      <c r="E98" s="16" t="s">
        <v>339</v>
      </c>
      <c r="F98" s="17" t="s">
        <v>455</v>
      </c>
      <c r="G98" s="17" t="s">
        <v>77</v>
      </c>
      <c r="H98" s="17" t="s">
        <v>319</v>
      </c>
      <c r="I98" s="16" t="s">
        <v>121</v>
      </c>
      <c r="J98" s="13" t="n">
        <v>100</v>
      </c>
      <c r="K98" s="13" t="n">
        <v>42</v>
      </c>
      <c r="L98" s="13" t="s">
        <v>80</v>
      </c>
      <c r="M98" s="13" t="s">
        <v>96</v>
      </c>
      <c r="N98" s="13" t="s">
        <v>81</v>
      </c>
      <c r="O98" s="16" t="s">
        <v>82</v>
      </c>
      <c r="P98" s="16" t="s">
        <v>456</v>
      </c>
      <c r="Q98" s="13" t="s">
        <v>91</v>
      </c>
      <c r="R98" s="18" t="s">
        <v>85</v>
      </c>
      <c r="S98" s="18"/>
    </row>
    <row r="99" customFormat="false" ht="15" hidden="false" customHeight="false" outlineLevel="0" collapsed="false">
      <c r="A99" s="13" t="n">
        <v>95</v>
      </c>
      <c r="B99" s="14" t="s">
        <v>457</v>
      </c>
      <c r="C99" s="20" t="s">
        <v>28</v>
      </c>
      <c r="D99" s="16" t="s">
        <v>74</v>
      </c>
      <c r="E99" s="16" t="s">
        <v>407</v>
      </c>
      <c r="F99" s="17" t="s">
        <v>458</v>
      </c>
      <c r="G99" s="17" t="s">
        <v>77</v>
      </c>
      <c r="H99" s="17" t="s">
        <v>89</v>
      </c>
      <c r="I99" s="16" t="s">
        <v>121</v>
      </c>
      <c r="J99" s="13" t="n">
        <v>22</v>
      </c>
      <c r="K99" s="13" t="n">
        <v>10</v>
      </c>
      <c r="L99" s="13" t="s">
        <v>107</v>
      </c>
      <c r="M99" s="13" t="s">
        <v>96</v>
      </c>
      <c r="N99" s="13" t="s">
        <v>81</v>
      </c>
      <c r="O99" s="16" t="s">
        <v>82</v>
      </c>
      <c r="P99" s="16" t="s">
        <v>459</v>
      </c>
      <c r="Q99" s="13" t="s">
        <v>91</v>
      </c>
      <c r="R99" s="18" t="s">
        <v>85</v>
      </c>
      <c r="S99" s="18"/>
    </row>
    <row r="100" customFormat="false" ht="15" hidden="false" customHeight="false" outlineLevel="0" collapsed="false">
      <c r="A100" s="13" t="n">
        <v>96</v>
      </c>
      <c r="B100" s="14" t="s">
        <v>460</v>
      </c>
      <c r="C100" s="20" t="s">
        <v>28</v>
      </c>
      <c r="D100" s="16" t="s">
        <v>74</v>
      </c>
      <c r="E100" s="16" t="s">
        <v>461</v>
      </c>
      <c r="F100" s="17" t="s">
        <v>462</v>
      </c>
      <c r="G100" s="17" t="s">
        <v>77</v>
      </c>
      <c r="H100" s="17" t="s">
        <v>89</v>
      </c>
      <c r="I100" s="16" t="s">
        <v>121</v>
      </c>
      <c r="J100" s="13" t="n">
        <v>173</v>
      </c>
      <c r="K100" s="13" t="n">
        <v>22</v>
      </c>
      <c r="L100" s="13" t="s">
        <v>80</v>
      </c>
      <c r="M100" s="13" t="s">
        <v>81</v>
      </c>
      <c r="N100" s="13" t="s">
        <v>81</v>
      </c>
      <c r="O100" s="16" t="s">
        <v>82</v>
      </c>
      <c r="P100" s="16" t="s">
        <v>463</v>
      </c>
      <c r="Q100" s="13" t="s">
        <v>84</v>
      </c>
      <c r="R100" s="18" t="s">
        <v>85</v>
      </c>
      <c r="S100" s="18"/>
    </row>
    <row r="101" customFormat="false" ht="15" hidden="false" customHeight="false" outlineLevel="0" collapsed="false">
      <c r="A101" s="13" t="n">
        <v>97</v>
      </c>
      <c r="B101" s="14" t="s">
        <v>464</v>
      </c>
      <c r="C101" s="20" t="s">
        <v>28</v>
      </c>
      <c r="D101" s="16" t="s">
        <v>74</v>
      </c>
      <c r="E101" s="16" t="s">
        <v>359</v>
      </c>
      <c r="F101" s="17" t="s">
        <v>465</v>
      </c>
      <c r="G101" s="17" t="s">
        <v>77</v>
      </c>
      <c r="H101" s="17" t="s">
        <v>89</v>
      </c>
      <c r="I101" s="17" t="s">
        <v>79</v>
      </c>
      <c r="J101" s="13" t="n">
        <v>146</v>
      </c>
      <c r="K101" s="13" t="n">
        <v>10</v>
      </c>
      <c r="L101" s="13" t="s">
        <v>80</v>
      </c>
      <c r="M101" s="13" t="s">
        <v>81</v>
      </c>
      <c r="N101" s="13" t="s">
        <v>81</v>
      </c>
      <c r="O101" s="16" t="s">
        <v>82</v>
      </c>
      <c r="P101" s="16" t="s">
        <v>466</v>
      </c>
      <c r="Q101" s="13" t="s">
        <v>91</v>
      </c>
      <c r="R101" s="18" t="s">
        <v>85</v>
      </c>
      <c r="S101" s="18"/>
    </row>
    <row r="102" customFormat="false" ht="15" hidden="false" customHeight="false" outlineLevel="0" collapsed="false">
      <c r="A102" s="13" t="n">
        <v>98</v>
      </c>
      <c r="B102" s="14" t="s">
        <v>467</v>
      </c>
      <c r="C102" s="20" t="s">
        <v>28</v>
      </c>
      <c r="D102" s="16" t="s">
        <v>74</v>
      </c>
      <c r="E102" s="16" t="s">
        <v>426</v>
      </c>
      <c r="F102" s="17" t="s">
        <v>468</v>
      </c>
      <c r="G102" s="17" t="s">
        <v>77</v>
      </c>
      <c r="H102" s="17" t="s">
        <v>89</v>
      </c>
      <c r="I102" s="17" t="s">
        <v>79</v>
      </c>
      <c r="J102" s="13" t="n">
        <v>236</v>
      </c>
      <c r="K102" s="13" t="n">
        <v>14</v>
      </c>
      <c r="L102" s="13" t="s">
        <v>80</v>
      </c>
      <c r="M102" s="13" t="s">
        <v>81</v>
      </c>
      <c r="N102" s="13" t="s">
        <v>96</v>
      </c>
      <c r="O102" s="16" t="s">
        <v>82</v>
      </c>
      <c r="P102" s="16" t="s">
        <v>469</v>
      </c>
      <c r="Q102" s="13" t="s">
        <v>91</v>
      </c>
      <c r="R102" s="18" t="s">
        <v>85</v>
      </c>
      <c r="S102" s="18"/>
    </row>
    <row r="103" customFormat="false" ht="23.85" hidden="false" customHeight="false" outlineLevel="0" collapsed="false">
      <c r="A103" s="13" t="n">
        <v>99</v>
      </c>
      <c r="B103" s="14" t="s">
        <v>470</v>
      </c>
      <c r="C103" s="20" t="s">
        <v>28</v>
      </c>
      <c r="D103" s="16" t="s">
        <v>74</v>
      </c>
      <c r="E103" s="16" t="s">
        <v>471</v>
      </c>
      <c r="F103" s="17" t="s">
        <v>472</v>
      </c>
      <c r="G103" s="17" t="s">
        <v>77</v>
      </c>
      <c r="H103" s="17" t="s">
        <v>89</v>
      </c>
      <c r="I103" s="16" t="s">
        <v>121</v>
      </c>
      <c r="J103" s="13" t="n">
        <v>1294</v>
      </c>
      <c r="K103" s="13" t="n">
        <v>92</v>
      </c>
      <c r="L103" s="13" t="s">
        <v>80</v>
      </c>
      <c r="M103" s="13" t="s">
        <v>81</v>
      </c>
      <c r="N103" s="13" t="s">
        <v>81</v>
      </c>
      <c r="O103" s="16" t="s">
        <v>82</v>
      </c>
      <c r="P103" s="16" t="s">
        <v>473</v>
      </c>
      <c r="Q103" s="13" t="s">
        <v>91</v>
      </c>
      <c r="R103" s="18" t="s">
        <v>85</v>
      </c>
      <c r="S103" s="18"/>
    </row>
    <row r="104" customFormat="false" ht="23.85" hidden="false" customHeight="false" outlineLevel="0" collapsed="false">
      <c r="A104" s="13" t="n">
        <v>100</v>
      </c>
      <c r="B104" s="14" t="s">
        <v>474</v>
      </c>
      <c r="C104" s="20" t="s">
        <v>28</v>
      </c>
      <c r="D104" s="16" t="s">
        <v>475</v>
      </c>
      <c r="E104" s="16" t="s">
        <v>241</v>
      </c>
      <c r="F104" s="17" t="s">
        <v>476</v>
      </c>
      <c r="G104" s="17" t="s">
        <v>77</v>
      </c>
      <c r="H104" s="17" t="s">
        <v>89</v>
      </c>
      <c r="I104" s="16" t="s">
        <v>121</v>
      </c>
      <c r="J104" s="13" t="n">
        <v>17</v>
      </c>
      <c r="K104" s="13" t="n">
        <v>8</v>
      </c>
      <c r="L104" s="13" t="s">
        <v>149</v>
      </c>
      <c r="M104" s="13" t="s">
        <v>96</v>
      </c>
      <c r="N104" s="13" t="s">
        <v>81</v>
      </c>
      <c r="O104" s="16" t="s">
        <v>82</v>
      </c>
      <c r="P104" s="16" t="s">
        <v>477</v>
      </c>
      <c r="Q104" s="13" t="s">
        <v>91</v>
      </c>
      <c r="R104" s="18" t="s">
        <v>85</v>
      </c>
      <c r="S104" s="18"/>
    </row>
  </sheetData>
  <autoFilter ref="A4:S104"/>
  <conditionalFormatting sqref="R5:R104">
    <cfRule type="expression" priority="2" aboveAverage="0" equalAverage="0" bottom="0" percent="0" rank="0" text="" dxfId="8">
      <formula>$R5="First PR merged"</formula>
    </cfRule>
    <cfRule type="expression" priority="3" aboveAverage="0" equalAverage="0" bottom="0" percent="0" rank="0" text="" dxfId="9">
      <formula>$R5="3+ PRs merged"</formula>
    </cfRule>
    <cfRule type="expression" priority="4" aboveAverage="0" equalAverage="0" bottom="0" percent="0" rank="0" text="" dxfId="10">
      <formula>$R5="Applied to program"</formula>
    </cfRule>
    <cfRule type="expression" priority="5" aboveAverage="0" equalAverage="0" bottom="0" percent="0" rank="0" text="" dxfId="11">
      <formula>$R5="First PR open"</formula>
    </cfRule>
    <cfRule type="expression" priority="6" aboveAverage="0" equalAverage="0" bottom="0" percent="0" rank="0" text="" dxfId="12">
      <formula>$R5="Issue claimed"</formula>
    </cfRule>
    <cfRule type="expression" priority="7" aboveAverage="0" equalAverage="0" bottom="0" percent="0" rank="0" text="" dxfId="13">
      <formula>$R5="Dropped"</formula>
    </cfRule>
  </conditionalFormatting>
  <dataValidations count="1">
    <dataValidation allowBlank="true" errorStyle="stop" operator="between" showDropDown="false" showErrorMessage="false" showInputMessage="false" sqref="R5:R104" type="list">
      <formula1>"Not started,Exploring,Issue claimed,First PR open,First PR merged,3+ PRs merged,Applied to program,Dropped"</formula1>
      <formula2>0</formula2>
    </dataValidation>
  </dataValidations>
  <hyperlinks>
    <hyperlink ref="F5" r:id="rId2" display="oppia/oppia"/>
    <hyperlink ref="G5" r:id="rId3" display="Open list"/>
    <hyperlink ref="H5" r:id="rId4" display=".github/CONTRIBUTING.md"/>
    <hyperlink ref="I5" r:id="rId5" display="AGENTS.md"/>
    <hyperlink ref="F6" r:id="rId6" display="zulip/zulip"/>
    <hyperlink ref="G6" r:id="rId7" display="Open list"/>
    <hyperlink ref="H6" r:id="rId8" display="CONTRIBUTING.md"/>
    <hyperlink ref="I6" r:id="rId9" display="AGENTS.md"/>
    <hyperlink ref="F7" r:id="rId10" display="meshery/meshery"/>
    <hyperlink ref="G7" r:id="rId11" display="Open list"/>
    <hyperlink ref="H7" r:id="rId12" display="CONTRIBUTING.md"/>
    <hyperlink ref="I7" r:id="rId13" display="AGENTS.md"/>
    <hyperlink ref="F8" r:id="rId14" display="jaegertracing/jaeger-ui"/>
    <hyperlink ref="G8" r:id="rId15" display="Open list"/>
    <hyperlink ref="H8" r:id="rId16" display="CONTRIBUTING.md"/>
    <hyperlink ref="I8" r:id="rId17" display="AGENTS.md"/>
    <hyperlink ref="F9" r:id="rId18" display="ohcnetwork/care_fe"/>
    <hyperlink ref="G9" r:id="rId19" display="Open list"/>
    <hyperlink ref="H9" r:id="rId20" location="readme" display="See README / docs"/>
    <hyperlink ref="I9" r:id="rId21" display="AGENTS.md"/>
    <hyperlink ref="F10" r:id="rId22" display="CircuitVerse/cv-frontend-vue"/>
    <hyperlink ref="G10" r:id="rId23" display="Open list"/>
    <hyperlink ref="H10" r:id="rId24" location="readme" display="See README / docs"/>
    <hyperlink ref="I10" r:id="rId25" display="AGENTS.md"/>
    <hyperlink ref="F11" r:id="rId26" display="foss42/apidash"/>
    <hyperlink ref="G11" r:id="rId27" display="Open list"/>
    <hyperlink ref="H11" r:id="rId28" display="CONTRIBUTING.md"/>
    <hyperlink ref="I11" r:id="rId29" display="AGENTS.md"/>
    <hyperlink ref="F12" r:id="rId30" display="kiwix/kiwix-js"/>
    <hyperlink ref="G12" r:id="rId31" display="Open list"/>
    <hyperlink ref="H12" r:id="rId32" display="CONTRIBUTING.md"/>
    <hyperlink ref="F13" r:id="rId33" display="openmrs/openmrs-esm-patient-chart"/>
    <hyperlink ref="G13" r:id="rId34" display="Open list"/>
    <hyperlink ref="H13" r:id="rId35" location="readme" display="See README / docs"/>
    <hyperlink ref="F14" r:id="rId36" display="internetarchive/openlibrary"/>
    <hyperlink ref="G14" r:id="rId37" display="Open list"/>
    <hyperlink ref="H14" r:id="rId38" display="CONTRIBUTING.md"/>
    <hyperlink ref="I14" r:id="rId39" display="AGENTS.md"/>
    <hyperlink ref="F15" r:id="rId40" display="wagtail/wagtail"/>
    <hyperlink ref="G15" r:id="rId41" display="Open list"/>
    <hyperlink ref="H15" r:id="rId42" display=".github/CONTRIBUTING.md"/>
    <hyperlink ref="I15" r:id="rId43" display="AGENTS.md"/>
    <hyperlink ref="F16" r:id="rId44" display="sugarlabs/musicblocks"/>
    <hyperlink ref="G16" r:id="rId45" display="Open list"/>
    <hyperlink ref="H16" r:id="rId46" display="CONTRIBUTING.md"/>
    <hyperlink ref="I16" r:id="rId47" display="AGENTS.md"/>
    <hyperlink ref="F17" r:id="rId48" display="learningequality/kolibri"/>
    <hyperlink ref="G17" r:id="rId49" display="Open list"/>
    <hyperlink ref="H17" r:id="rId50" location="readme" display="See README / docs"/>
    <hyperlink ref="I17" r:id="rId51" display="AGENTS.md"/>
    <hyperlink ref="F18" r:id="rId52" display="processing/p5.js"/>
    <hyperlink ref="G18" r:id="rId53" display="Open list"/>
    <hyperlink ref="H18" r:id="rId54" display="CONTRIBUTING.md"/>
    <hyperlink ref="I18" r:id="rId55" display="AGENTS.md"/>
    <hyperlink ref="F19" r:id="rId56" display="juice-shop/juice-shop"/>
    <hyperlink ref="G19" r:id="rId57" display="Open list"/>
    <hyperlink ref="H19" r:id="rId58" display="CONTRIBUTING.md"/>
    <hyperlink ref="I19" r:id="rId59" display="AGENTS.md"/>
    <hyperlink ref="F20" r:id="rId60" display="json-schema-org/website"/>
    <hyperlink ref="G20" r:id="rId61" display="Open list"/>
    <hyperlink ref="H20" r:id="rId62" display="CONTRIBUTING.md"/>
    <hyperlink ref="F21" r:id="rId63" display="accordproject/template-playground"/>
    <hyperlink ref="G21" r:id="rId64" display="Open list"/>
    <hyperlink ref="H21" r:id="rId65" display="CONTRIBUTING.md"/>
    <hyperlink ref="I21" r:id="rId66" display="AGENTS.md"/>
    <hyperlink ref="F22" r:id="rId67" display="RocketChat/Rocket.Chat"/>
    <hyperlink ref="G22" r:id="rId68" display="Open list"/>
    <hyperlink ref="H22" r:id="rId69" display=".github/CONTRIBUTING.md"/>
    <hyperlink ref="F23" r:id="rId70" display="jitsi/jitsi-meet"/>
    <hyperlink ref="G23" r:id="rId71" display="Open list"/>
    <hyperlink ref="H23" r:id="rId72" display="CONTRIBUTING.md"/>
    <hyperlink ref="F24" r:id="rId73" display="Submitty/Submitty"/>
    <hyperlink ref="G24" r:id="rId74" display="Open list"/>
    <hyperlink ref="H24" r:id="rId75" display="CONTRIBUTING.md"/>
    <hyperlink ref="F25" r:id="rId76" display="omegaup/omegaup"/>
    <hyperlink ref="G25" r:id="rId77" display="Open list"/>
    <hyperlink ref="H25" r:id="rId78" display="CONTRIBUTING.md"/>
    <hyperlink ref="F26" r:id="rId79" display="ankidroid/Anki-Android"/>
    <hyperlink ref="G26" r:id="rId80" display="Open list"/>
    <hyperlink ref="H26" r:id="rId81" display="CONTRIBUTING.md"/>
    <hyperlink ref="I26" r:id="rId82" display="AI_POLICY.md"/>
    <hyperlink ref="F27" r:id="rId83" display="JabRef/jabref"/>
    <hyperlink ref="G27" r:id="rId84" display="Open list"/>
    <hyperlink ref="H27" r:id="rId85" display="CONTRIBUTING.md"/>
    <hyperlink ref="I27" r:id="rId86" display="AGENTS.md"/>
    <hyperlink ref="F28" r:id="rId87" display="metabrainz/listenbrainz-server"/>
    <hyperlink ref="G28" r:id="rId88" display="Open list"/>
    <hyperlink ref="H28" r:id="rId89" display=".github/CONTRIBUTING.md"/>
    <hyperlink ref="F29" r:id="rId90" display="openstreetmap/iD"/>
    <hyperlink ref="G29" r:id="rId91" display="Open list"/>
    <hyperlink ref="H29" r:id="rId92" display="CONTRIBUTING.md"/>
    <hyperlink ref="F30" r:id="rId93" display="sympy/sympy"/>
    <hyperlink ref="G30" r:id="rId94" display="Open list"/>
    <hyperlink ref="H30" r:id="rId95" display="CONTRIBUTING.md"/>
    <hyperlink ref="I30" r:id="rId96" display="AGENTS.md"/>
    <hyperlink ref="F31" r:id="rId97" display="stdlib-js/stdlib"/>
    <hyperlink ref="G31" r:id="rId98" display="Open list"/>
    <hyperlink ref="H31" r:id="rId99" display="CONTRIBUTING.md"/>
    <hyperlink ref="F32" r:id="rId100" display="fossasia/eventyay"/>
    <hyperlink ref="G32" r:id="rId101" display="Open list"/>
    <hyperlink ref="H32" r:id="rId102" display="CONTRIBUTING.md"/>
    <hyperlink ref="I32" r:id="rId103" display="agents.md"/>
    <hyperlink ref="F33" r:id="rId104" display="openMF/web-app"/>
    <hyperlink ref="G33" r:id="rId105" display="Open list"/>
    <hyperlink ref="H33" r:id="rId106" display="CONTRIBUTING.md"/>
    <hyperlink ref="I33" r:id="rId107" display="AGENTS.md"/>
    <hyperlink ref="F34" r:id="rId108" display="AOSSIE-Org/PictoPy"/>
    <hyperlink ref="G34" r:id="rId109" display="Open list"/>
    <hyperlink ref="H34" r:id="rId110" display="CONTRIBUTING.md"/>
    <hyperlink ref="I34" r:id="rId111" display="AGENTS.md"/>
    <hyperlink ref="F35" r:id="rId112" display="learning-unlimited/ESP-Website"/>
    <hyperlink ref="G35" r:id="rId113" display="Open list"/>
    <hyperlink ref="H35" r:id="rId114" location="readme" display="See README / docs"/>
    <hyperlink ref="F36" r:id="rId115" display="freeCodeCamp/freeCodeCamp"/>
    <hyperlink ref="G36" r:id="rId116" display="Open list"/>
    <hyperlink ref="H36" r:id="rId117" location="readme" display="See README / docs"/>
    <hyperlink ref="F37" r:id="rId118" display="hoppscotch/hoppscotch"/>
    <hyperlink ref="G37" r:id="rId119" display="Open list"/>
    <hyperlink ref="H37" r:id="rId120" display="CONTRIBUTING.md"/>
    <hyperlink ref="F38" r:id="rId121" display="kubernetes-sigs/headlamp"/>
    <hyperlink ref="G38" r:id="rId122" display="Open list"/>
    <hyperlink ref="H38" r:id="rId123" display="CONTRIBUTING.md"/>
    <hyperlink ref="I38" r:id="rId124" display="AGENTS.md"/>
    <hyperlink ref="F39" r:id="rId125" display="openeverest/openeverest"/>
    <hyperlink ref="G39" r:id="rId126" display="Open list"/>
    <hyperlink ref="H39" r:id="rId127" display="CONTRIBUTING.md"/>
    <hyperlink ref="I39" r:id="rId128" display="AGENTS.md"/>
    <hyperlink ref="F40" r:id="rId129" display="pipe-cd/pipecd"/>
    <hyperlink ref="G40" r:id="rId130" display="Open list"/>
    <hyperlink ref="H40" r:id="rId131" display="CONTRIBUTING.md"/>
    <hyperlink ref="F41" r:id="rId132" display="kubescape/kubescape"/>
    <hyperlink ref="G41" r:id="rId133" display="Open list"/>
    <hyperlink ref="H41" r:id="rId134" display="CONTRIBUTING.md"/>
    <hyperlink ref="F42" r:id="rId135" display="kyverno/kyverno"/>
    <hyperlink ref="G42" r:id="rId136" display="Open list"/>
    <hyperlink ref="H42" r:id="rId137" display="CONTRIBUTING.md"/>
    <hyperlink ref="I42" r:id="rId138" display="AGENTS.md"/>
    <hyperlink ref="F43" r:id="rId139" display="kubeflow/pipelines"/>
    <hyperlink ref="G43" r:id="rId140" display="Open list"/>
    <hyperlink ref="H43" r:id="rId141" display="CONTRIBUTING.md"/>
    <hyperlink ref="I43" r:id="rId142" display="AGENTS.md"/>
    <hyperlink ref="F44" r:id="rId143" display="kubeedge/kubeedge"/>
    <hyperlink ref="G44" r:id="rId144" display="Open list"/>
    <hyperlink ref="H44" r:id="rId145" display="CONTRIBUTING.md"/>
    <hyperlink ref="F45" r:id="rId146" display="volcano-sh/kthena"/>
    <hyperlink ref="G45" r:id="rId147" display="Open list"/>
    <hyperlink ref="H45" r:id="rId148" display="CONTRIBUTING.md"/>
    <hyperlink ref="I45" r:id="rId149" display="AGENTS.md"/>
    <hyperlink ref="F46" r:id="rId150" display="kubevela/kubevela"/>
    <hyperlink ref="G46" r:id="rId151" display="Open list"/>
    <hyperlink ref="H46" r:id="rId152" display="CONTRIBUTING.md"/>
    <hyperlink ref="F47" r:id="rId153" display="litmuschaos/litmus"/>
    <hyperlink ref="G47" r:id="rId154" display="Open list"/>
    <hyperlink ref="H47" r:id="rId155" display="CONTRIBUTING.md"/>
    <hyperlink ref="F48" r:id="rId156" display="goharbor/harbor"/>
    <hyperlink ref="G48" r:id="rId157" display="Open list"/>
    <hyperlink ref="H48" r:id="rId158" display="CONTRIBUTING.md"/>
    <hyperlink ref="F49" r:id="rId159" display="lima-vm/lima"/>
    <hyperlink ref="G49" r:id="rId160" display="Open list"/>
    <hyperlink ref="H49" r:id="rId161" location="readme" display="See README / docs"/>
    <hyperlink ref="I49" r:id="rId162" display="AGENTS.md"/>
    <hyperlink ref="F50" r:id="rId163" display="open-telemetry/opentelemetry-js"/>
    <hyperlink ref="G50" r:id="rId164" display="Open list"/>
    <hyperlink ref="H50" r:id="rId165" display="CONTRIBUTING.md"/>
    <hyperlink ref="F51" r:id="rId166" display="openkruise/agents"/>
    <hyperlink ref="G51" r:id="rId167" display="Open list"/>
    <hyperlink ref="H51" r:id="rId168" display="CONTRIBUTING.md"/>
    <hyperlink ref="I51" r:id="rId169" display="AGENTS.md"/>
    <hyperlink ref="F52" r:id="rId170" display="kubearmor/KubeArmor"/>
    <hyperlink ref="G52" r:id="rId171" display="Open list"/>
    <hyperlink ref="H52" r:id="rId172" display="CONTRIBUTING.md"/>
    <hyperlink ref="F53" r:id="rId173" display="Kuadrant/kuadrant-operator"/>
    <hyperlink ref="G53" r:id="rId174" display="Open list"/>
    <hyperlink ref="H53" r:id="rId175" location="readme" display="See README / docs"/>
    <hyperlink ref="I53" r:id="rId176" display="AGENTS.md"/>
    <hyperlink ref="F54" r:id="rId177" display="microcks/microcks"/>
    <hyperlink ref="G54" r:id="rId178" display="Open list"/>
    <hyperlink ref="H54" r:id="rId179" display="CONTRIBUTING.md"/>
    <hyperlink ref="I54" r:id="rId180" display="AGENTS.md"/>
    <hyperlink ref="F55" r:id="rId181" display="Apicurio/apicurio-registry"/>
    <hyperlink ref="G55" r:id="rId182" display="Open list"/>
    <hyperlink ref="H55" r:id="rId183" display="CONTRIBUTING.md"/>
    <hyperlink ref="I55" r:id="rId184" display="AGENTS.md"/>
    <hyperlink ref="F56" r:id="rId185" display="krkn-chaos/krkn"/>
    <hyperlink ref="G56" r:id="rId186" display="Open list"/>
    <hyperlink ref="H56" r:id="rId187" display="CONTRIBUTING.md"/>
    <hyperlink ref="F57" r:id="rId188" display="jenkinsci/jenkins"/>
    <hyperlink ref="G57" r:id="rId189" display="Open list"/>
    <hyperlink ref="H57" r:id="rId190" display="CONTRIBUTING.md"/>
    <hyperlink ref="F58" r:id="rId191" display="laurent22/joplin"/>
    <hyperlink ref="G58" r:id="rId192" display="Open list"/>
    <hyperlink ref="H58" r:id="rId193" display="CONTRIBUTING"/>
    <hyperlink ref="F59" r:id="rId194" display="webpack/webpack"/>
    <hyperlink ref="G59" r:id="rId195" display="Open list"/>
    <hyperlink ref="H59" r:id="rId196" display="CONTRIBUTING.md"/>
    <hyperlink ref="I59" r:id="rId197" display="AGENTS.md"/>
    <hyperlink ref="F60" r:id="rId198" display="google-gemini/gemini-cli"/>
    <hyperlink ref="G60" r:id="rId199" display="Open list"/>
    <hyperlink ref="H60" r:id="rId200" display="CONTRIBUTING.md"/>
    <hyperlink ref="F61" r:id="rId201" display="django/django"/>
    <hyperlink ref="G61" r:id="rId202" display="Open list"/>
    <hyperlink ref="H61" r:id="rId203" display="CONTRIBUTING.rst"/>
    <hyperlink ref="F62" r:id="rId204" display="checkstyle/checkstyle"/>
    <hyperlink ref="G62" r:id="rId205" display="Open list"/>
    <hyperlink ref="H62" r:id="rId206" display=".github/CONTRIBUTING.md"/>
    <hyperlink ref="F63" r:id="rId207" display="cBioPortal/cbioportal-frontend"/>
    <hyperlink ref="G63" r:id="rId208" display="Open list"/>
    <hyperlink ref="H63" r:id="rId209" display="CONTRIBUTING.md"/>
    <hyperlink ref="I63" r:id="rId210" display="AGENTS.md"/>
    <hyperlink ref="F64" r:id="rId211" display="openwisp/openwisp-controller"/>
    <hyperlink ref="G64" r:id="rId212" display="Open list"/>
    <hyperlink ref="H64" r:id="rId213" display="CONTRIBUTING.rst"/>
    <hyperlink ref="I64" r:id="rId214" display="AGENTS.md"/>
    <hyperlink ref="F65" r:id="rId215" display="neuroinformatics-unit/movement"/>
    <hyperlink ref="G65" r:id="rId216" display="Open list"/>
    <hyperlink ref="H65" r:id="rId217" display="CONTRIBUTING.md"/>
    <hyperlink ref="F66" r:id="rId218" display="kornia/kornia"/>
    <hyperlink ref="G66" r:id="rId219" display="Open list"/>
    <hyperlink ref="H66" r:id="rId220" display="CONTRIBUTING.md"/>
    <hyperlink ref="I66" r:id="rId221" display="AGENTS.md"/>
    <hyperlink ref="F67" r:id="rId222" display="openvinotoolkit/openvino"/>
    <hyperlink ref="G67" r:id="rId223" display="Open list"/>
    <hyperlink ref="H67" r:id="rId224" display="CONTRIBUTING.md"/>
    <hyperlink ref="I67" r:id="rId225" display="AI_USAGE_POLICY.md"/>
    <hyperlink ref="F68" r:id="rId226" display="apache/airflow"/>
    <hyperlink ref="G68" r:id="rId227" display="Open list"/>
    <hyperlink ref="H68" r:id="rId228" display="CONTRIBUTING.rst"/>
    <hyperlink ref="I68" r:id="rId229" display="AGENTS.md"/>
    <hyperlink ref="F69" r:id="rId230" display="rapid7/metasploit-framework"/>
    <hyperlink ref="G69" r:id="rId231" display="Open list"/>
    <hyperlink ref="H69" r:id="rId232" display="CONTRIBUTING.md"/>
    <hyperlink ref="I69" r:id="rId233" display="AGENTS.md"/>
    <hyperlink ref="F70" r:id="rId234" display="aboutcode-org/scancode-toolkit"/>
    <hyperlink ref="G70" r:id="rId235" display="Open list"/>
    <hyperlink ref="H70" r:id="rId236" display="CONTRIBUTING.rst"/>
    <hyperlink ref="F71" r:id="rId237" display="GraphiteEditor/Graphite"/>
    <hyperlink ref="G71" r:id="rId238" display="Open list"/>
    <hyperlink ref="H71" r:id="rId239" location="readme" display="See README / docs"/>
    <hyperlink ref="F72" r:id="rId240" display="KDE/kdenlive"/>
    <hyperlink ref="G72" r:id="rId241" display="Open list"/>
    <hyperlink ref="H72" r:id="rId242" location="readme" display="See README / docs"/>
    <hyperlink ref="F73" r:id="rId243" display="pgadmin-org/pgadmin4"/>
    <hyperlink ref="G73" r:id="rId244" display="Open list"/>
    <hyperlink ref="H73" r:id="rId245" display="CONTRIBUTING.md"/>
    <hyperlink ref="F74" r:id="rId246" display="sunpy/sunpy"/>
    <hyperlink ref="G74" r:id="rId247" display="Open list"/>
    <hyperlink ref="H74" r:id="rId248" location="readme" display="See README / docs"/>
    <hyperlink ref="F75" r:id="rId249" display="wikimedia/mediawiki"/>
    <hyperlink ref="G75" r:id="rId250" display="Open list"/>
    <hyperlink ref="H75" r:id="rId251" location="readme" display="See README / docs"/>
    <hyperlink ref="F76" r:id="rId252" display="openfoodfacts/smooth-app"/>
    <hyperlink ref="G76" r:id="rId253" display="Open list"/>
    <hyperlink ref="H76" r:id="rId254" display="CONTRIBUTING.md"/>
    <hyperlink ref="I76" r:id="rId255" display="AGENTS.md"/>
    <hyperlink ref="F77" r:id="rId256" display="kubernetes/kubernetes"/>
    <hyperlink ref="G77" r:id="rId257" display="Open list"/>
    <hyperlink ref="H77" r:id="rId258" display="CONTRIBUTING.md"/>
    <hyperlink ref="I77" r:id="rId259" display="AGENTS.md"/>
    <hyperlink ref="F78" r:id="rId260" display="prometheus/prometheus"/>
    <hyperlink ref="G78" r:id="rId261" display="Open list"/>
    <hyperlink ref="H78" r:id="rId262" display="CONTRIBUTING.md"/>
    <hyperlink ref="I78" r:id="rId263" display="AGENTS.md"/>
    <hyperlink ref="F79" r:id="rId264" display="cilium/cilium"/>
    <hyperlink ref="G79" r:id="rId265" display="Open list"/>
    <hyperlink ref="H79" r:id="rId266" display="CONTRIBUTING.md"/>
    <hyperlink ref="F80" r:id="rId267" display="etcd-io/etcd"/>
    <hyperlink ref="G80" r:id="rId268" display="Open list"/>
    <hyperlink ref="H80" r:id="rId269" display="CONTRIBUTING.md"/>
    <hyperlink ref="F81" r:id="rId270" display="WasmEdge/WasmEdge"/>
    <hyperlink ref="G81" r:id="rId271" display="Open list"/>
    <hyperlink ref="H81" r:id="rId272" location="readme" display="See README / docs"/>
    <hyperlink ref="I81" r:id="rId273" display="AGENTS.md"/>
    <hyperlink ref="F82" r:id="rId274" display="containers/podman"/>
    <hyperlink ref="G82" r:id="rId275" display="Open list"/>
    <hyperlink ref="H82" r:id="rId276" display="CONTRIBUTING.md"/>
    <hyperlink ref="I82" r:id="rId277" display="AGENTS.md"/>
    <hyperlink ref="F83" r:id="rId278" display="kubevirt/kubevirt"/>
    <hyperlink ref="G83" r:id="rId279" display="Open list"/>
    <hyperlink ref="H83" r:id="rId280" display="CONTRIBUTING.md"/>
    <hyperlink ref="F84" r:id="rId281" display="torvalds/linux"/>
    <hyperlink ref="G84" r:id="rId282" display="Open list"/>
    <hyperlink ref="H84" r:id="rId283" location="readme" display="See README / docs"/>
    <hyperlink ref="F85" r:id="rId284" display="llvm/llvm-project"/>
    <hyperlink ref="G85" r:id="rId285" display="Open list"/>
    <hyperlink ref="H85" r:id="rId286" display="CONTRIBUTING.md"/>
    <hyperlink ref="F86" r:id="rId287" display="gcc-mirror/gcc"/>
    <hyperlink ref="G86" r:id="rId288" display="Open list"/>
    <hyperlink ref="H86" r:id="rId289" display=".github/CONTRIBUTING.md"/>
    <hyperlink ref="F87" r:id="rId290" display="FFmpeg/FFmpeg"/>
    <hyperlink ref="G87" r:id="rId291" display="Open list"/>
    <hyperlink ref="H87" r:id="rId292" display="CONTRIBUTING.md"/>
    <hyperlink ref="F88" r:id="rId293" display="qemu/qemu"/>
    <hyperlink ref="G88" r:id="rId294" display="Open list"/>
    <hyperlink ref="H88" r:id="rId295" location="readme" display="See README / docs"/>
    <hyperlink ref="I88" r:id="rId296" display="AGENTS.md"/>
    <hyperlink ref="F89" r:id="rId297" display="git/git"/>
    <hyperlink ref="G89" r:id="rId298" display="Open list"/>
    <hyperlink ref="H89" r:id="rId299" display=".github/CONTRIBUTING.md"/>
    <hyperlink ref="F90" r:id="rId300" display="rust-lang/rust"/>
    <hyperlink ref="G90" r:id="rId301" display="Open list"/>
    <hyperlink ref="H90" r:id="rId302" display="CONTRIBUTING.md"/>
    <hyperlink ref="I90" r:id="rId303" display="AGENTS.md"/>
    <hyperlink ref="F91" r:id="rId304" display="blender/blender"/>
    <hyperlink ref="G91" r:id="rId305" display="Open list"/>
    <hyperlink ref="H91" r:id="rId306" location="readme" display="See README / docs"/>
    <hyperlink ref="F92" r:id="rId307" display="LibreOffice/core"/>
    <hyperlink ref="G92" r:id="rId308" display="Open list"/>
    <hyperlink ref="H92" r:id="rId309" location="readme" display="See README / docs"/>
    <hyperlink ref="F93" r:id="rId310" display="JuliaLang/julia"/>
    <hyperlink ref="G93" r:id="rId311" display="Open list"/>
    <hyperlink ref="H93" r:id="rId312" display="CONTRIBUTING.md"/>
    <hyperlink ref="I93" r:id="rId313" display="AGENTS.md"/>
    <hyperlink ref="F94" r:id="rId314" display="root-project/root"/>
    <hyperlink ref="G94" r:id="rId315" display="Open list"/>
    <hyperlink ref="H94" r:id="rId316" display="CONTRIBUTING.md"/>
    <hyperlink ref="I94" r:id="rId317" display="AGENTS.md"/>
    <hyperlink ref="F95" r:id="rId318" display="ArduPilot/ardupilot"/>
    <hyperlink ref="G95" r:id="rId319" display="Open list"/>
    <hyperlink ref="H95" r:id="rId320" display=".github/CONTRIBUTING.md"/>
    <hyperlink ref="I95" r:id="rId321" display="AGENTS.md"/>
    <hyperlink ref="F96" r:id="rId322" display="FreeCAD/FreeCAD"/>
    <hyperlink ref="G96" r:id="rId323" display="Open list"/>
    <hyperlink ref="H96" r:id="rId324" display="CONTRIBUTING.md"/>
    <hyperlink ref="I96" r:id="rId325" display="AI_POLICY.md"/>
    <hyperlink ref="F97" r:id="rId326" display="neovim/neovim"/>
    <hyperlink ref="G97" r:id="rId327" display="Open list"/>
    <hyperlink ref="H97" r:id="rId328" display="CONTRIBUTING.md"/>
    <hyperlink ref="I97" r:id="rId329" display="AGENTS.md"/>
    <hyperlink ref="F98" r:id="rId330" display="ceph/ceph"/>
    <hyperlink ref="G98" r:id="rId331" display="Open list"/>
    <hyperlink ref="H98" r:id="rId332" display="CONTRIBUTING.rst"/>
    <hyperlink ref="F99" r:id="rId333" display="gazebosim/gz-sim"/>
    <hyperlink ref="G99" r:id="rId334" display="Open list"/>
    <hyperlink ref="H99" r:id="rId335" display="CONTRIBUTING.md"/>
    <hyperlink ref="F100" r:id="rId336" display="sagemath/sage"/>
    <hyperlink ref="G100" r:id="rId337" display="Open list"/>
    <hyperlink ref="H100" r:id="rId338" display="CONTRIBUTING.md"/>
    <hyperlink ref="F101" r:id="rId339" display="mixxxdj/mixxx"/>
    <hyperlink ref="G101" r:id="rId340" display="Open list"/>
    <hyperlink ref="H101" r:id="rId341" display="CONTRIBUTING.md"/>
    <hyperlink ref="I101" r:id="rId342" display="AGENTS.md"/>
    <hyperlink ref="F102" r:id="rId343" display="dora-rs/dora"/>
    <hyperlink ref="G102" r:id="rId344" display="Open list"/>
    <hyperlink ref="H102" r:id="rId345" display="CONTRIBUTING.md"/>
    <hyperlink ref="I102" r:id="rId346" display="AGENTS.md"/>
    <hyperlink ref="F103" r:id="rId347" display="swiftlang/swift"/>
    <hyperlink ref="G103" r:id="rId348" display="Open list"/>
    <hyperlink ref="H103" r:id="rId349" display="CONTRIBUTING.md"/>
    <hyperlink ref="F104" r:id="rId350" display="hyperledger/fabric"/>
    <hyperlink ref="G104" r:id="rId351" display="Open list"/>
    <hyperlink ref="H104" r:id="rId352" display="CONTRIBUTING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53"/>
  <legacyDrawing r:id="rId35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8" min="7" style="0" width="40"/>
    <col collapsed="false" customWidth="true" hidden="false" outlineLevel="0" max="9" min="9" style="0" width="38"/>
    <col collapsed="false" customWidth="true" hidden="false" outlineLevel="0" max="11" min="10" style="0" width="32"/>
    <col collapsed="false" customWidth="true" hidden="false" outlineLevel="0" max="12" min="12" style="0" width="18"/>
  </cols>
  <sheetData>
    <row r="1" customFormat="false" ht="18.55" hidden="false" customHeight="false" outlineLevel="0" collapsed="false">
      <c r="A1" s="1" t="s">
        <v>478</v>
      </c>
    </row>
    <row r="2" customFormat="false" ht="15" hidden="false" customHeight="false" outlineLevel="0" collapsed="false">
      <c r="A2" s="2" t="s">
        <v>479</v>
      </c>
    </row>
    <row r="4" customFormat="false" ht="36" hidden="false" customHeight="true" outlineLevel="0" collapsed="false">
      <c r="A4" s="12" t="s">
        <v>54</v>
      </c>
      <c r="B4" s="12" t="s">
        <v>480</v>
      </c>
      <c r="C4" s="12" t="s">
        <v>481</v>
      </c>
      <c r="D4" s="12" t="s">
        <v>482</v>
      </c>
      <c r="E4" s="12" t="s">
        <v>483</v>
      </c>
      <c r="F4" s="12" t="s">
        <v>484</v>
      </c>
      <c r="G4" s="12" t="s">
        <v>485</v>
      </c>
      <c r="H4" s="12" t="s">
        <v>486</v>
      </c>
      <c r="I4" s="12" t="s">
        <v>487</v>
      </c>
      <c r="J4" s="12" t="s">
        <v>488</v>
      </c>
      <c r="K4" s="12" t="s">
        <v>489</v>
      </c>
      <c r="L4" s="12" t="s">
        <v>490</v>
      </c>
    </row>
    <row r="5" customFormat="false" ht="57.45" hidden="false" customHeight="false" outlineLevel="0" collapsed="false">
      <c r="A5" s="13" t="n">
        <v>1</v>
      </c>
      <c r="B5" s="14" t="s">
        <v>491</v>
      </c>
      <c r="C5" s="16" t="s">
        <v>492</v>
      </c>
      <c r="D5" s="16" t="s">
        <v>493</v>
      </c>
      <c r="E5" s="16" t="s">
        <v>494</v>
      </c>
      <c r="F5" s="16" t="s">
        <v>495</v>
      </c>
      <c r="G5" s="16" t="s">
        <v>496</v>
      </c>
      <c r="H5" s="16" t="s">
        <v>497</v>
      </c>
      <c r="I5" s="16" t="s">
        <v>498</v>
      </c>
      <c r="J5" s="16" t="s">
        <v>499</v>
      </c>
      <c r="K5" s="17" t="s">
        <v>500</v>
      </c>
      <c r="L5" s="16" t="s">
        <v>501</v>
      </c>
    </row>
    <row r="6" customFormat="false" ht="46.25" hidden="false" customHeight="false" outlineLevel="0" collapsed="false">
      <c r="A6" s="13" t="n">
        <v>2</v>
      </c>
      <c r="B6" s="14" t="s">
        <v>502</v>
      </c>
      <c r="C6" s="16" t="s">
        <v>492</v>
      </c>
      <c r="D6" s="16" t="s">
        <v>503</v>
      </c>
      <c r="E6" s="16" t="s">
        <v>504</v>
      </c>
      <c r="F6" s="16" t="s">
        <v>505</v>
      </c>
      <c r="G6" s="16" t="s">
        <v>506</v>
      </c>
      <c r="H6" s="16" t="s">
        <v>507</v>
      </c>
      <c r="I6" s="16" t="s">
        <v>508</v>
      </c>
      <c r="J6" s="16" t="s">
        <v>509</v>
      </c>
      <c r="K6" s="17" t="s">
        <v>510</v>
      </c>
      <c r="L6" s="16" t="s">
        <v>511</v>
      </c>
    </row>
    <row r="7" customFormat="false" ht="35.05" hidden="false" customHeight="false" outlineLevel="0" collapsed="false">
      <c r="A7" s="13" t="n">
        <v>3</v>
      </c>
      <c r="B7" s="14" t="s">
        <v>512</v>
      </c>
      <c r="C7" s="16" t="s">
        <v>513</v>
      </c>
      <c r="D7" s="16" t="s">
        <v>503</v>
      </c>
      <c r="E7" s="16" t="s">
        <v>514</v>
      </c>
      <c r="F7" s="16" t="s">
        <v>505</v>
      </c>
      <c r="G7" s="16" t="s">
        <v>515</v>
      </c>
      <c r="H7" s="16" t="s">
        <v>516</v>
      </c>
      <c r="I7" s="16" t="s">
        <v>517</v>
      </c>
      <c r="J7" s="16" t="s">
        <v>518</v>
      </c>
      <c r="K7" s="17" t="s">
        <v>519</v>
      </c>
      <c r="L7" s="16" t="s">
        <v>501</v>
      </c>
    </row>
    <row r="8" customFormat="false" ht="23.85" hidden="false" customHeight="false" outlineLevel="0" collapsed="false">
      <c r="A8" s="13" t="n">
        <v>4</v>
      </c>
      <c r="B8" s="14" t="s">
        <v>520</v>
      </c>
      <c r="C8" s="16" t="s">
        <v>521</v>
      </c>
      <c r="D8" s="16" t="s">
        <v>522</v>
      </c>
      <c r="E8" s="16" t="s">
        <v>523</v>
      </c>
      <c r="F8" s="16" t="s">
        <v>524</v>
      </c>
      <c r="G8" s="16" t="s">
        <v>525</v>
      </c>
      <c r="H8" s="16" t="s">
        <v>526</v>
      </c>
      <c r="I8" s="16" t="s">
        <v>527</v>
      </c>
      <c r="J8" s="16" t="s">
        <v>528</v>
      </c>
      <c r="K8" s="17" t="s">
        <v>529</v>
      </c>
      <c r="L8" s="16" t="s">
        <v>501</v>
      </c>
    </row>
    <row r="9" customFormat="false" ht="23.85" hidden="false" customHeight="false" outlineLevel="0" collapsed="false">
      <c r="A9" s="13" t="n">
        <v>5</v>
      </c>
      <c r="B9" s="14" t="s">
        <v>530</v>
      </c>
      <c r="C9" s="16" t="s">
        <v>531</v>
      </c>
      <c r="D9" s="16" t="s">
        <v>532</v>
      </c>
      <c r="E9" s="16" t="s">
        <v>533</v>
      </c>
      <c r="F9" s="16" t="s">
        <v>534</v>
      </c>
      <c r="G9" s="16" t="s">
        <v>535</v>
      </c>
      <c r="H9" s="16" t="s">
        <v>536</v>
      </c>
      <c r="I9" s="16" t="s">
        <v>537</v>
      </c>
      <c r="J9" s="16" t="s">
        <v>538</v>
      </c>
      <c r="K9" s="17" t="s">
        <v>539</v>
      </c>
      <c r="L9" s="16" t="s">
        <v>501</v>
      </c>
    </row>
    <row r="10" customFormat="false" ht="23.85" hidden="false" customHeight="false" outlineLevel="0" collapsed="false">
      <c r="A10" s="13" t="n">
        <v>6</v>
      </c>
      <c r="B10" s="14" t="s">
        <v>540</v>
      </c>
      <c r="C10" s="16" t="s">
        <v>541</v>
      </c>
      <c r="D10" s="16" t="s">
        <v>542</v>
      </c>
      <c r="E10" s="16" t="s">
        <v>543</v>
      </c>
      <c r="F10" s="16" t="s">
        <v>544</v>
      </c>
      <c r="G10" s="16" t="s">
        <v>545</v>
      </c>
      <c r="H10" s="16" t="s">
        <v>546</v>
      </c>
      <c r="I10" s="16" t="s">
        <v>547</v>
      </c>
      <c r="J10" s="16" t="s">
        <v>548</v>
      </c>
      <c r="K10" s="17" t="s">
        <v>549</v>
      </c>
      <c r="L10" s="16" t="s">
        <v>501</v>
      </c>
    </row>
    <row r="11" customFormat="false" ht="46.25" hidden="false" customHeight="false" outlineLevel="0" collapsed="false">
      <c r="A11" s="13" t="n">
        <v>7</v>
      </c>
      <c r="B11" s="14" t="s">
        <v>550</v>
      </c>
      <c r="C11" s="16" t="s">
        <v>551</v>
      </c>
      <c r="D11" s="16" t="s">
        <v>552</v>
      </c>
      <c r="E11" s="16" t="s">
        <v>553</v>
      </c>
      <c r="F11" s="16" t="s">
        <v>554</v>
      </c>
      <c r="G11" s="16" t="s">
        <v>555</v>
      </c>
      <c r="H11" s="16" t="s">
        <v>556</v>
      </c>
      <c r="I11" s="16" t="s">
        <v>557</v>
      </c>
      <c r="J11" s="16" t="s">
        <v>558</v>
      </c>
      <c r="K11" s="17" t="s">
        <v>559</v>
      </c>
      <c r="L11" s="16" t="s">
        <v>501</v>
      </c>
    </row>
    <row r="12" customFormat="false" ht="23.85" hidden="false" customHeight="false" outlineLevel="0" collapsed="false">
      <c r="A12" s="13" t="n">
        <v>8</v>
      </c>
      <c r="B12" s="14" t="s">
        <v>560</v>
      </c>
      <c r="C12" s="16" t="s">
        <v>561</v>
      </c>
      <c r="D12" s="16" t="s">
        <v>562</v>
      </c>
      <c r="E12" s="16" t="s">
        <v>563</v>
      </c>
      <c r="F12" s="16" t="s">
        <v>564</v>
      </c>
      <c r="G12" s="16" t="s">
        <v>565</v>
      </c>
      <c r="H12" s="16" t="s">
        <v>31</v>
      </c>
      <c r="I12" s="16" t="s">
        <v>566</v>
      </c>
      <c r="J12" s="16" t="s">
        <v>31</v>
      </c>
      <c r="K12" s="17" t="s">
        <v>567</v>
      </c>
      <c r="L12" s="21" t="s">
        <v>568</v>
      </c>
    </row>
    <row r="13" customFormat="false" ht="35.05" hidden="false" customHeight="false" outlineLevel="0" collapsed="false">
      <c r="A13" s="13" t="n">
        <v>9</v>
      </c>
      <c r="B13" s="14" t="s">
        <v>569</v>
      </c>
      <c r="C13" s="16" t="s">
        <v>492</v>
      </c>
      <c r="D13" s="16" t="s">
        <v>570</v>
      </c>
      <c r="E13" s="16" t="s">
        <v>571</v>
      </c>
      <c r="F13" s="16" t="s">
        <v>572</v>
      </c>
      <c r="G13" s="16" t="s">
        <v>573</v>
      </c>
      <c r="H13" s="16" t="s">
        <v>574</v>
      </c>
      <c r="I13" s="16" t="s">
        <v>575</v>
      </c>
      <c r="J13" s="16" t="s">
        <v>576</v>
      </c>
      <c r="K13" s="17" t="s">
        <v>577</v>
      </c>
      <c r="L13" s="16" t="s">
        <v>578</v>
      </c>
    </row>
    <row r="14" customFormat="false" ht="23.85" hidden="false" customHeight="false" outlineLevel="0" collapsed="false">
      <c r="A14" s="13" t="n">
        <v>10</v>
      </c>
      <c r="B14" s="14" t="s">
        <v>579</v>
      </c>
      <c r="C14" s="16" t="s">
        <v>551</v>
      </c>
      <c r="D14" s="16" t="s">
        <v>579</v>
      </c>
      <c r="E14" s="16" t="s">
        <v>580</v>
      </c>
      <c r="F14" s="16" t="s">
        <v>564</v>
      </c>
      <c r="G14" s="16" t="s">
        <v>581</v>
      </c>
      <c r="H14" s="16" t="s">
        <v>582</v>
      </c>
      <c r="I14" s="16" t="s">
        <v>583</v>
      </c>
      <c r="J14" s="16" t="s">
        <v>584</v>
      </c>
      <c r="K14" s="17" t="s">
        <v>585</v>
      </c>
      <c r="L14" s="16" t="s">
        <v>501</v>
      </c>
    </row>
    <row r="15" customFormat="false" ht="23.85" hidden="false" customHeight="false" outlineLevel="0" collapsed="false">
      <c r="A15" s="13" t="n">
        <v>11</v>
      </c>
      <c r="B15" s="14" t="s">
        <v>586</v>
      </c>
      <c r="C15" s="16" t="s">
        <v>587</v>
      </c>
      <c r="D15" s="16" t="s">
        <v>588</v>
      </c>
      <c r="E15" s="16" t="s">
        <v>589</v>
      </c>
      <c r="F15" s="16" t="s">
        <v>564</v>
      </c>
      <c r="G15" s="16" t="s">
        <v>590</v>
      </c>
      <c r="H15" s="16" t="s">
        <v>591</v>
      </c>
      <c r="I15" s="16" t="s">
        <v>592</v>
      </c>
      <c r="J15" s="16" t="s">
        <v>593</v>
      </c>
      <c r="K15" s="17" t="s">
        <v>594</v>
      </c>
      <c r="L15" s="16" t="s">
        <v>501</v>
      </c>
    </row>
    <row r="16" customFormat="false" ht="23.85" hidden="false" customHeight="false" outlineLevel="0" collapsed="false">
      <c r="A16" s="13" t="n">
        <v>12</v>
      </c>
      <c r="B16" s="14" t="s">
        <v>595</v>
      </c>
      <c r="C16" s="16" t="s">
        <v>587</v>
      </c>
      <c r="D16" s="16" t="s">
        <v>596</v>
      </c>
      <c r="E16" s="16" t="s">
        <v>597</v>
      </c>
      <c r="F16" s="16" t="s">
        <v>598</v>
      </c>
      <c r="G16" s="16" t="s">
        <v>599</v>
      </c>
      <c r="H16" s="16" t="s">
        <v>600</v>
      </c>
      <c r="I16" s="16" t="s">
        <v>601</v>
      </c>
      <c r="J16" s="16" t="s">
        <v>602</v>
      </c>
      <c r="K16" s="17" t="s">
        <v>603</v>
      </c>
      <c r="L16" s="16" t="s">
        <v>501</v>
      </c>
    </row>
    <row r="17" customFormat="false" ht="23.85" hidden="false" customHeight="false" outlineLevel="0" collapsed="false">
      <c r="A17" s="13" t="n">
        <v>13</v>
      </c>
      <c r="B17" s="14" t="s">
        <v>604</v>
      </c>
      <c r="C17" s="16" t="s">
        <v>605</v>
      </c>
      <c r="D17" s="16" t="s">
        <v>606</v>
      </c>
      <c r="E17" s="16" t="s">
        <v>607</v>
      </c>
      <c r="F17" s="16" t="s">
        <v>608</v>
      </c>
      <c r="G17" s="16" t="s">
        <v>609</v>
      </c>
      <c r="H17" s="16" t="s">
        <v>610</v>
      </c>
      <c r="I17" s="16" t="s">
        <v>611</v>
      </c>
      <c r="J17" s="16" t="s">
        <v>612</v>
      </c>
      <c r="K17" s="17" t="s">
        <v>613</v>
      </c>
      <c r="L17" s="16" t="s">
        <v>501</v>
      </c>
    </row>
    <row r="18" customFormat="false" ht="23.85" hidden="false" customHeight="false" outlineLevel="0" collapsed="false">
      <c r="A18" s="13" t="n">
        <v>14</v>
      </c>
      <c r="B18" s="14" t="s">
        <v>614</v>
      </c>
      <c r="C18" s="16" t="s">
        <v>615</v>
      </c>
      <c r="D18" s="16" t="s">
        <v>616</v>
      </c>
      <c r="E18" s="16" t="s">
        <v>617</v>
      </c>
      <c r="F18" s="16" t="s">
        <v>618</v>
      </c>
      <c r="G18" s="16" t="s">
        <v>619</v>
      </c>
      <c r="H18" s="16" t="s">
        <v>620</v>
      </c>
      <c r="I18" s="16" t="s">
        <v>621</v>
      </c>
      <c r="J18" s="16" t="s">
        <v>622</v>
      </c>
      <c r="K18" s="17" t="s">
        <v>623</v>
      </c>
      <c r="L18" s="16" t="s">
        <v>501</v>
      </c>
    </row>
    <row r="19" customFormat="false" ht="23.85" hidden="false" customHeight="false" outlineLevel="0" collapsed="false">
      <c r="A19" s="13" t="n">
        <v>15</v>
      </c>
      <c r="B19" s="14" t="s">
        <v>624</v>
      </c>
      <c r="C19" s="16" t="s">
        <v>625</v>
      </c>
      <c r="D19" s="16" t="s">
        <v>626</v>
      </c>
      <c r="E19" s="16" t="s">
        <v>627</v>
      </c>
      <c r="F19" s="16" t="s">
        <v>628</v>
      </c>
      <c r="G19" s="16" t="s">
        <v>629</v>
      </c>
      <c r="H19" s="16" t="s">
        <v>630</v>
      </c>
      <c r="I19" s="16" t="s">
        <v>631</v>
      </c>
      <c r="J19" s="16" t="s">
        <v>632</v>
      </c>
      <c r="K19" s="17" t="s">
        <v>633</v>
      </c>
      <c r="L19" s="16" t="s">
        <v>501</v>
      </c>
    </row>
    <row r="20" customFormat="false" ht="23.85" hidden="false" customHeight="false" outlineLevel="0" collapsed="false">
      <c r="A20" s="13" t="n">
        <v>16</v>
      </c>
      <c r="B20" s="14" t="s">
        <v>634</v>
      </c>
      <c r="C20" s="16" t="s">
        <v>635</v>
      </c>
      <c r="D20" s="16" t="s">
        <v>636</v>
      </c>
      <c r="E20" s="16" t="s">
        <v>637</v>
      </c>
      <c r="F20" s="16" t="s">
        <v>638</v>
      </c>
      <c r="G20" s="16" t="s">
        <v>639</v>
      </c>
      <c r="H20" s="16" t="s">
        <v>640</v>
      </c>
      <c r="I20" s="16" t="s">
        <v>641</v>
      </c>
      <c r="J20" s="16" t="s">
        <v>642</v>
      </c>
      <c r="K20" s="17" t="s">
        <v>643</v>
      </c>
      <c r="L20" s="16" t="s">
        <v>501</v>
      </c>
    </row>
    <row r="21" customFormat="false" ht="23.85" hidden="false" customHeight="false" outlineLevel="0" collapsed="false">
      <c r="A21" s="13" t="n">
        <v>17</v>
      </c>
      <c r="B21" s="14" t="s">
        <v>644</v>
      </c>
      <c r="C21" s="16" t="s">
        <v>645</v>
      </c>
      <c r="D21" s="16" t="s">
        <v>646</v>
      </c>
      <c r="E21" s="16" t="s">
        <v>637</v>
      </c>
      <c r="F21" s="16" t="s">
        <v>572</v>
      </c>
      <c r="G21" s="16" t="s">
        <v>647</v>
      </c>
      <c r="H21" s="16" t="s">
        <v>648</v>
      </c>
      <c r="I21" s="16" t="s">
        <v>649</v>
      </c>
      <c r="J21" s="16" t="s">
        <v>650</v>
      </c>
      <c r="K21" s="17" t="s">
        <v>651</v>
      </c>
      <c r="L21" s="16" t="s">
        <v>501</v>
      </c>
    </row>
    <row r="22" customFormat="false" ht="23.85" hidden="false" customHeight="false" outlineLevel="0" collapsed="false">
      <c r="A22" s="13" t="n">
        <v>18</v>
      </c>
      <c r="B22" s="14" t="s">
        <v>652</v>
      </c>
      <c r="C22" s="16" t="s">
        <v>653</v>
      </c>
      <c r="D22" s="16" t="s">
        <v>654</v>
      </c>
      <c r="E22" s="16" t="s">
        <v>637</v>
      </c>
      <c r="F22" s="16" t="s">
        <v>655</v>
      </c>
      <c r="G22" s="16" t="s">
        <v>656</v>
      </c>
      <c r="H22" s="16" t="s">
        <v>657</v>
      </c>
      <c r="I22" s="16" t="s">
        <v>658</v>
      </c>
      <c r="J22" s="16" t="s">
        <v>659</v>
      </c>
      <c r="K22" s="17" t="s">
        <v>660</v>
      </c>
      <c r="L22" s="22" t="s">
        <v>661</v>
      </c>
    </row>
    <row r="23" customFormat="false" ht="23.85" hidden="false" customHeight="false" outlineLevel="0" collapsed="false">
      <c r="A23" s="13" t="n">
        <v>19</v>
      </c>
      <c r="B23" s="14" t="s">
        <v>662</v>
      </c>
      <c r="C23" s="16" t="s">
        <v>653</v>
      </c>
      <c r="D23" s="16" t="s">
        <v>663</v>
      </c>
      <c r="E23" s="16" t="s">
        <v>637</v>
      </c>
      <c r="F23" s="16" t="s">
        <v>664</v>
      </c>
      <c r="G23" s="16" t="s">
        <v>665</v>
      </c>
      <c r="H23" s="16" t="s">
        <v>666</v>
      </c>
      <c r="I23" s="16" t="s">
        <v>667</v>
      </c>
      <c r="J23" s="16" t="s">
        <v>668</v>
      </c>
      <c r="K23" s="17" t="s">
        <v>669</v>
      </c>
      <c r="L23" s="16" t="s">
        <v>670</v>
      </c>
    </row>
    <row r="24" customFormat="false" ht="35.05" hidden="false" customHeight="false" outlineLevel="0" collapsed="false">
      <c r="A24" s="13" t="n">
        <v>20</v>
      </c>
      <c r="B24" s="14" t="s">
        <v>671</v>
      </c>
      <c r="C24" s="16" t="s">
        <v>672</v>
      </c>
      <c r="D24" s="16" t="s">
        <v>673</v>
      </c>
      <c r="E24" s="16" t="s">
        <v>674</v>
      </c>
      <c r="F24" s="16" t="s">
        <v>675</v>
      </c>
      <c r="G24" s="16" t="s">
        <v>676</v>
      </c>
      <c r="H24" s="16" t="s">
        <v>677</v>
      </c>
      <c r="I24" s="16" t="s">
        <v>678</v>
      </c>
      <c r="J24" s="16" t="s">
        <v>679</v>
      </c>
      <c r="K24" s="17" t="s">
        <v>680</v>
      </c>
      <c r="L24" s="22" t="s">
        <v>681</v>
      </c>
    </row>
    <row r="25" customFormat="false" ht="23.85" hidden="false" customHeight="false" outlineLevel="0" collapsed="false">
      <c r="A25" s="13" t="n">
        <v>21</v>
      </c>
      <c r="B25" s="14" t="s">
        <v>682</v>
      </c>
      <c r="C25" s="16" t="s">
        <v>683</v>
      </c>
      <c r="D25" s="16" t="s">
        <v>684</v>
      </c>
      <c r="E25" s="16" t="s">
        <v>637</v>
      </c>
      <c r="F25" s="16" t="s">
        <v>685</v>
      </c>
      <c r="G25" s="16" t="s">
        <v>686</v>
      </c>
      <c r="H25" s="16" t="s">
        <v>687</v>
      </c>
      <c r="I25" s="16" t="s">
        <v>688</v>
      </c>
      <c r="J25" s="16" t="s">
        <v>689</v>
      </c>
      <c r="K25" s="17" t="s">
        <v>690</v>
      </c>
      <c r="L25" s="16" t="s">
        <v>501</v>
      </c>
    </row>
    <row r="26" customFormat="false" ht="15" hidden="false" customHeight="false" outlineLevel="0" collapsed="false">
      <c r="A26" s="13" t="n">
        <v>22</v>
      </c>
      <c r="B26" s="14" t="s">
        <v>691</v>
      </c>
      <c r="C26" s="16" t="s">
        <v>692</v>
      </c>
      <c r="D26" s="16" t="s">
        <v>693</v>
      </c>
      <c r="E26" s="16" t="s">
        <v>637</v>
      </c>
      <c r="F26" s="16" t="s">
        <v>694</v>
      </c>
      <c r="G26" s="16" t="s">
        <v>695</v>
      </c>
      <c r="H26" s="16" t="s">
        <v>696</v>
      </c>
      <c r="I26" s="16" t="s">
        <v>697</v>
      </c>
      <c r="J26" s="16" t="s">
        <v>698</v>
      </c>
      <c r="K26" s="17" t="s">
        <v>699</v>
      </c>
      <c r="L26" s="16" t="s">
        <v>501</v>
      </c>
    </row>
    <row r="27" customFormat="false" ht="23.85" hidden="false" customHeight="false" outlineLevel="0" collapsed="false">
      <c r="A27" s="13" t="n">
        <v>23</v>
      </c>
      <c r="B27" s="14" t="s">
        <v>700</v>
      </c>
      <c r="C27" s="16" t="s">
        <v>701</v>
      </c>
      <c r="D27" s="16" t="s">
        <v>702</v>
      </c>
      <c r="E27" s="16" t="s">
        <v>637</v>
      </c>
      <c r="F27" s="16" t="s">
        <v>703</v>
      </c>
      <c r="G27" s="16" t="s">
        <v>704</v>
      </c>
      <c r="H27" s="16" t="s">
        <v>705</v>
      </c>
      <c r="I27" s="16" t="s">
        <v>706</v>
      </c>
      <c r="J27" s="16" t="s">
        <v>707</v>
      </c>
      <c r="K27" s="17" t="s">
        <v>708</v>
      </c>
      <c r="L27" s="16" t="s">
        <v>501</v>
      </c>
    </row>
    <row r="28" customFormat="false" ht="15" hidden="false" customHeight="false" outlineLevel="0" collapsed="false">
      <c r="A28" s="13" t="n">
        <v>24</v>
      </c>
      <c r="B28" s="14" t="s">
        <v>709</v>
      </c>
      <c r="C28" s="16" t="s">
        <v>710</v>
      </c>
      <c r="D28" s="16" t="s">
        <v>711</v>
      </c>
      <c r="E28" s="16" t="s">
        <v>637</v>
      </c>
      <c r="F28" s="16" t="s">
        <v>712</v>
      </c>
      <c r="G28" s="16" t="s">
        <v>713</v>
      </c>
      <c r="H28" s="16" t="s">
        <v>714</v>
      </c>
      <c r="I28" s="16" t="s">
        <v>715</v>
      </c>
      <c r="J28" s="16" t="s">
        <v>716</v>
      </c>
      <c r="K28" s="17" t="s">
        <v>717</v>
      </c>
      <c r="L28" s="16" t="s">
        <v>501</v>
      </c>
    </row>
    <row r="29" customFormat="false" ht="23.85" hidden="false" customHeight="false" outlineLevel="0" collapsed="false">
      <c r="A29" s="13" t="n">
        <v>25</v>
      </c>
      <c r="B29" s="14" t="s">
        <v>718</v>
      </c>
      <c r="C29" s="16" t="s">
        <v>719</v>
      </c>
      <c r="D29" s="16" t="s">
        <v>720</v>
      </c>
      <c r="E29" s="16" t="s">
        <v>721</v>
      </c>
      <c r="F29" s="16" t="s">
        <v>722</v>
      </c>
      <c r="G29" s="16" t="s">
        <v>723</v>
      </c>
      <c r="H29" s="16" t="s">
        <v>724</v>
      </c>
      <c r="I29" s="16" t="s">
        <v>725</v>
      </c>
      <c r="J29" s="16" t="s">
        <v>726</v>
      </c>
      <c r="K29" s="17" t="s">
        <v>727</v>
      </c>
      <c r="L29" s="16" t="s">
        <v>501</v>
      </c>
    </row>
    <row r="30" customFormat="false" ht="23.85" hidden="false" customHeight="false" outlineLevel="0" collapsed="false">
      <c r="A30" s="13" t="n">
        <v>26</v>
      </c>
      <c r="B30" s="14" t="s">
        <v>728</v>
      </c>
      <c r="C30" s="16" t="s">
        <v>729</v>
      </c>
      <c r="D30" s="16" t="s">
        <v>730</v>
      </c>
      <c r="E30" s="16" t="s">
        <v>731</v>
      </c>
      <c r="F30" s="16" t="s">
        <v>731</v>
      </c>
      <c r="G30" s="16" t="s">
        <v>732</v>
      </c>
      <c r="H30" s="16" t="s">
        <v>733</v>
      </c>
      <c r="I30" s="16" t="s">
        <v>734</v>
      </c>
      <c r="J30" s="16" t="s">
        <v>735</v>
      </c>
      <c r="K30" s="17" t="s">
        <v>736</v>
      </c>
      <c r="L30" s="16" t="s">
        <v>501</v>
      </c>
    </row>
    <row r="31" customFormat="false" ht="15" hidden="false" customHeight="false" outlineLevel="0" collapsed="false">
      <c r="A31" s="13" t="n">
        <v>27</v>
      </c>
      <c r="B31" s="14" t="s">
        <v>737</v>
      </c>
      <c r="C31" s="16" t="s">
        <v>729</v>
      </c>
      <c r="D31" s="16" t="s">
        <v>738</v>
      </c>
      <c r="E31" s="16" t="s">
        <v>731</v>
      </c>
      <c r="F31" s="16" t="s">
        <v>731</v>
      </c>
      <c r="G31" s="16" t="s">
        <v>732</v>
      </c>
      <c r="H31" s="16" t="s">
        <v>739</v>
      </c>
      <c r="I31" s="16" t="s">
        <v>740</v>
      </c>
      <c r="J31" s="16" t="s">
        <v>741</v>
      </c>
      <c r="K31" s="17" t="s">
        <v>742</v>
      </c>
      <c r="L31" s="16" t="s">
        <v>501</v>
      </c>
    </row>
    <row r="32" customFormat="false" ht="15" hidden="false" customHeight="false" outlineLevel="0" collapsed="false">
      <c r="A32" s="13" t="n">
        <v>28</v>
      </c>
      <c r="B32" s="14" t="s">
        <v>743</v>
      </c>
      <c r="C32" s="16" t="s">
        <v>710</v>
      </c>
      <c r="D32" s="16" t="s">
        <v>744</v>
      </c>
      <c r="E32" s="16" t="s">
        <v>745</v>
      </c>
      <c r="F32" s="16" t="s">
        <v>746</v>
      </c>
      <c r="G32" s="16" t="s">
        <v>747</v>
      </c>
      <c r="H32" s="16" t="s">
        <v>724</v>
      </c>
      <c r="I32" s="16" t="s">
        <v>724</v>
      </c>
      <c r="J32" s="16" t="s">
        <v>748</v>
      </c>
      <c r="K32" s="17" t="s">
        <v>749</v>
      </c>
      <c r="L32" s="16" t="s">
        <v>501</v>
      </c>
    </row>
    <row r="33" customFormat="false" ht="23.85" hidden="false" customHeight="false" outlineLevel="0" collapsed="false">
      <c r="A33" s="13" t="n">
        <v>29</v>
      </c>
      <c r="B33" s="14" t="s">
        <v>750</v>
      </c>
      <c r="C33" s="16" t="s">
        <v>751</v>
      </c>
      <c r="D33" s="16" t="s">
        <v>143</v>
      </c>
      <c r="E33" s="16" t="s">
        <v>752</v>
      </c>
      <c r="F33" s="16" t="s">
        <v>753</v>
      </c>
      <c r="G33" s="16" t="s">
        <v>754</v>
      </c>
      <c r="H33" s="16" t="s">
        <v>755</v>
      </c>
      <c r="I33" s="16" t="s">
        <v>756</v>
      </c>
      <c r="J33" s="16" t="s">
        <v>757</v>
      </c>
      <c r="K33" s="17" t="s">
        <v>758</v>
      </c>
      <c r="L33" s="16" t="s">
        <v>501</v>
      </c>
    </row>
    <row r="34" customFormat="false" ht="15" hidden="false" customHeight="false" outlineLevel="0" collapsed="false">
      <c r="A34" s="13" t="n">
        <v>30</v>
      </c>
      <c r="B34" s="14" t="s">
        <v>759</v>
      </c>
      <c r="C34" s="16" t="s">
        <v>760</v>
      </c>
      <c r="D34" s="16" t="s">
        <v>761</v>
      </c>
      <c r="E34" s="16" t="s">
        <v>762</v>
      </c>
      <c r="F34" s="16" t="s">
        <v>763</v>
      </c>
      <c r="G34" s="16" t="s">
        <v>764</v>
      </c>
      <c r="H34" s="16" t="s">
        <v>765</v>
      </c>
      <c r="I34" s="16" t="s">
        <v>766</v>
      </c>
      <c r="J34" s="16" t="s">
        <v>767</v>
      </c>
      <c r="K34" s="17" t="s">
        <v>768</v>
      </c>
      <c r="L34" s="16" t="s">
        <v>769</v>
      </c>
    </row>
    <row r="35" customFormat="false" ht="15" hidden="false" customHeight="false" outlineLevel="0" collapsed="false">
      <c r="A35" s="13" t="n">
        <v>31</v>
      </c>
      <c r="B35" s="14" t="s">
        <v>770</v>
      </c>
      <c r="C35" s="16" t="s">
        <v>760</v>
      </c>
      <c r="D35" s="16" t="s">
        <v>771</v>
      </c>
      <c r="E35" s="16" t="s">
        <v>772</v>
      </c>
      <c r="F35" s="16" t="s">
        <v>773</v>
      </c>
      <c r="G35" s="16" t="s">
        <v>774</v>
      </c>
      <c r="H35" s="16" t="s">
        <v>775</v>
      </c>
      <c r="I35" s="16" t="s">
        <v>776</v>
      </c>
      <c r="J35" s="16" t="s">
        <v>767</v>
      </c>
      <c r="K35" s="17" t="s">
        <v>777</v>
      </c>
      <c r="L35" s="16" t="s">
        <v>769</v>
      </c>
    </row>
    <row r="36" customFormat="false" ht="15" hidden="false" customHeight="false" outlineLevel="0" collapsed="false">
      <c r="A36" s="13" t="n">
        <v>32</v>
      </c>
      <c r="B36" s="14" t="s">
        <v>778</v>
      </c>
      <c r="C36" s="16" t="s">
        <v>31</v>
      </c>
      <c r="D36" s="16" t="s">
        <v>493</v>
      </c>
      <c r="E36" s="16" t="s">
        <v>31</v>
      </c>
      <c r="F36" s="16" t="s">
        <v>31</v>
      </c>
      <c r="G36" s="16" t="s">
        <v>31</v>
      </c>
      <c r="H36" s="16" t="s">
        <v>779</v>
      </c>
      <c r="I36" s="16" t="s">
        <v>780</v>
      </c>
      <c r="J36" s="16" t="s">
        <v>31</v>
      </c>
      <c r="K36" s="17" t="s">
        <v>781</v>
      </c>
      <c r="L36" s="21" t="s">
        <v>782</v>
      </c>
    </row>
    <row r="37" customFormat="false" ht="15" hidden="false" customHeight="false" outlineLevel="0" collapsed="false">
      <c r="A37" s="13" t="n">
        <v>33</v>
      </c>
      <c r="B37" s="14" t="s">
        <v>783</v>
      </c>
      <c r="C37" s="16" t="s">
        <v>31</v>
      </c>
      <c r="D37" s="16" t="s">
        <v>784</v>
      </c>
      <c r="E37" s="16" t="s">
        <v>31</v>
      </c>
      <c r="F37" s="16" t="s">
        <v>31</v>
      </c>
      <c r="G37" s="16" t="s">
        <v>31</v>
      </c>
      <c r="H37" s="16" t="s">
        <v>785</v>
      </c>
      <c r="I37" s="16" t="s">
        <v>31</v>
      </c>
      <c r="J37" s="16" t="s">
        <v>31</v>
      </c>
      <c r="K37" s="17" t="s">
        <v>786</v>
      </c>
      <c r="L37" s="21" t="s">
        <v>782</v>
      </c>
    </row>
    <row r="38" customFormat="false" ht="15" hidden="false" customHeight="false" outlineLevel="0" collapsed="false">
      <c r="A38" s="13" t="n">
        <v>34</v>
      </c>
      <c r="B38" s="14" t="s">
        <v>787</v>
      </c>
      <c r="C38" s="16" t="s">
        <v>31</v>
      </c>
      <c r="D38" s="16" t="s">
        <v>198</v>
      </c>
      <c r="E38" s="16" t="s">
        <v>31</v>
      </c>
      <c r="F38" s="16" t="s">
        <v>31</v>
      </c>
      <c r="G38" s="16" t="s">
        <v>31</v>
      </c>
      <c r="H38" s="16" t="s">
        <v>788</v>
      </c>
      <c r="I38" s="16" t="s">
        <v>789</v>
      </c>
      <c r="J38" s="16" t="s">
        <v>31</v>
      </c>
      <c r="K38" s="17" t="s">
        <v>790</v>
      </c>
      <c r="L38" s="21" t="s">
        <v>791</v>
      </c>
    </row>
    <row r="39" customFormat="false" ht="15" hidden="false" customHeight="false" outlineLevel="0" collapsed="false">
      <c r="A39" s="13" t="n">
        <v>35</v>
      </c>
      <c r="B39" s="14" t="s">
        <v>792</v>
      </c>
      <c r="C39" s="16" t="s">
        <v>31</v>
      </c>
      <c r="D39" s="16" t="s">
        <v>493</v>
      </c>
      <c r="E39" s="16" t="s">
        <v>31</v>
      </c>
      <c r="F39" s="16" t="s">
        <v>31</v>
      </c>
      <c r="G39" s="16" t="s">
        <v>31</v>
      </c>
      <c r="H39" s="16" t="s">
        <v>793</v>
      </c>
      <c r="I39" s="16" t="s">
        <v>31</v>
      </c>
      <c r="J39" s="16" t="s">
        <v>31</v>
      </c>
      <c r="K39" s="17" t="s">
        <v>794</v>
      </c>
      <c r="L39" s="21" t="s">
        <v>782</v>
      </c>
    </row>
    <row r="40" customFormat="false" ht="15" hidden="false" customHeight="false" outlineLevel="0" collapsed="false">
      <c r="A40" s="13" t="n">
        <v>36</v>
      </c>
      <c r="B40" s="14" t="s">
        <v>795</v>
      </c>
      <c r="C40" s="16" t="s">
        <v>710</v>
      </c>
      <c r="D40" s="16" t="s">
        <v>796</v>
      </c>
      <c r="E40" s="16" t="s">
        <v>637</v>
      </c>
      <c r="F40" s="16" t="s">
        <v>564</v>
      </c>
      <c r="G40" s="16" t="s">
        <v>31</v>
      </c>
      <c r="H40" s="16" t="s">
        <v>797</v>
      </c>
      <c r="I40" s="16" t="s">
        <v>798</v>
      </c>
      <c r="J40" s="16" t="s">
        <v>799</v>
      </c>
      <c r="K40" s="17" t="s">
        <v>800</v>
      </c>
      <c r="L40" s="21" t="s">
        <v>801</v>
      </c>
    </row>
  </sheetData>
  <autoFilter ref="A4:L40"/>
  <hyperlinks>
    <hyperlink ref="K5" r:id="rId1" display="https://summerofcode.withgoogle.com"/>
    <hyperlink ref="K6" r:id="rId2" display="https://mentorship.lfx.linuxfoundation.org"/>
    <hyperlink ref="K7" r:id="rId3" display="https://wiki.linuxfoundation.org/lkmp"/>
    <hyperlink ref="K8" r:id="rId4" display="https://lf-decentralized-trust-mentorships.github.io/mentorship-program/main/"/>
    <hyperlink ref="K9" r:id="rId5" display="https://openmainframeproject.org/projects/mentorship/"/>
    <hyperlink ref="K10" r:id="rId6" display="https://lf-networking.atlassian.net/wiki/spaces/LN/pages/15646470/For+Applicants"/>
    <hyperlink ref="K11" r:id="rId7" display="https://www.outreachy.org"/>
    <hyperlink ref="K12" r:id="rId8" display="https://fellowship.mlh.com"/>
    <hyperlink ref="K13" r:id="rId9" display="https://codeforgoodtech.in"/>
    <hyperlink ref="K14" r:id="rId10" display="https://www.summerofbitcoin.org"/>
    <hyperlink ref="K15" r:id="rId11" display="https://www.esoc.dev"/>
    <hyperlink ref="K16" r:id="rId12" display="https://summer-ospp.ac.cn"/>
    <hyperlink ref="K17" r:id="rId13" display="https://www.igalia.com/coding-experience/"/>
    <hyperlink ref="K18" r:id="rId14" display="https://github.com/eth-protocol-fellows"/>
    <hyperlink ref="K19" r:id="rId15" display="https://fossee.in/fellowship/2026"/>
    <hyperlink ref="K20" r:id="rId16" display="https://mentorship.kde.org/sok/"/>
    <hyperlink ref="K21" r:id="rId17" display="https://gssoc.girlscript.org"/>
    <hyperlink ref="K22" r:id="rId18" display="https://www.swoc.in"/>
    <hyperlink ref="K23" r:id="rId19" display="https://kwoc.kossiitkgp.org"/>
    <hyperlink ref="K24" r:id="rId20" display="https://hacktoberfest.com"/>
    <hyperlink ref="K25" r:id="rId21" display="https://24pullrequests.com"/>
    <hyperlink ref="K26" r:id="rId22" display="https://djangonaut.space"/>
    <hyperlink ref="K27" r:id="rId23" display="https://github.com/kubernetes/sig-release/blob/master/release-team/shadows.md"/>
    <hyperlink ref="K28" r:id="rId24" display="https://www.swift.org/mentorship/"/>
    <hyperlink ref="K29" r:id="rId25" display="https://kubestellar.io/en/programs/ifos"/>
    <hyperlink ref="K30" r:id="rId26" display="https://julialang.org/jsoc/"/>
    <hyperlink ref="K31" r:id="rId27" display="https://summer.haskell.org"/>
    <hyperlink ref="K32" r:id="rId28" display="https://github.com/sktime/mentoring"/>
    <hyperlink ref="K33" r:id="rId29" display="https://processingfoundation.org/grants"/>
    <hyperlink ref="K34" r:id="rId30" display="https://www.nsoc.in"/>
    <hyperlink ref="K35" r:id="rId31" display="https://apertre.resourcio.in"/>
    <hyperlink ref="K36" r:id="rId32" display="https://developers.google.com/season-of-docs"/>
    <hyperlink ref="K37" r:id="rId33" display="https://www.x.org/wiki/XorgEVoC/"/>
    <hyperlink ref="K38" r:id="rId34" display="https://codeheat.org"/>
    <hyperlink ref="K39" r:id="rId35" display="https://en.wikipedia.org/wiki/Google_Code-in"/>
    <hyperlink ref="K40" r:id="rId36" display="https://www.fsf.org/volunteer/internship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48"/>
    <col collapsed="false" customWidth="true" hidden="false" outlineLevel="0" max="8" min="8" style="0" width="34"/>
    <col collapsed="false" customWidth="true" hidden="false" outlineLevel="0" max="9" min="9" style="0" width="10"/>
  </cols>
  <sheetData>
    <row r="1" customFormat="false" ht="18.55" hidden="false" customHeight="false" outlineLevel="0" collapsed="false">
      <c r="A1" s="1" t="s">
        <v>802</v>
      </c>
    </row>
    <row r="2" customFormat="false" ht="15" hidden="false" customHeight="false" outlineLevel="0" collapsed="false">
      <c r="A2" s="2" t="s">
        <v>803</v>
      </c>
    </row>
    <row r="4" customFormat="false" ht="36" hidden="false" customHeight="true" outlineLevel="0" collapsed="false">
      <c r="A4" s="12" t="s">
        <v>804</v>
      </c>
      <c r="B4" s="12" t="s">
        <v>805</v>
      </c>
      <c r="C4" s="12" t="s">
        <v>806</v>
      </c>
      <c r="D4" s="12" t="s">
        <v>481</v>
      </c>
      <c r="E4" s="12" t="s">
        <v>807</v>
      </c>
      <c r="F4" s="12" t="s">
        <v>482</v>
      </c>
      <c r="G4" s="12" t="s">
        <v>808</v>
      </c>
      <c r="H4" s="12" t="s">
        <v>809</v>
      </c>
      <c r="I4" s="12" t="s">
        <v>810</v>
      </c>
    </row>
    <row r="5" customFormat="false" ht="23.85" hidden="false" customHeight="false" outlineLevel="0" collapsed="false">
      <c r="A5" s="16" t="s">
        <v>811</v>
      </c>
      <c r="B5" s="16" t="s">
        <v>812</v>
      </c>
      <c r="C5" s="14" t="s">
        <v>671</v>
      </c>
      <c r="D5" s="16" t="s">
        <v>813</v>
      </c>
      <c r="E5" s="16" t="s">
        <v>814</v>
      </c>
      <c r="F5" s="16" t="s">
        <v>673</v>
      </c>
      <c r="G5" s="16" t="s">
        <v>815</v>
      </c>
      <c r="H5" s="17" t="s">
        <v>680</v>
      </c>
      <c r="I5" s="18"/>
    </row>
    <row r="6" customFormat="false" ht="15" hidden="false" customHeight="false" outlineLevel="0" collapsed="false">
      <c r="A6" s="16" t="s">
        <v>811</v>
      </c>
      <c r="B6" s="16" t="s">
        <v>816</v>
      </c>
      <c r="C6" s="14" t="s">
        <v>817</v>
      </c>
      <c r="D6" s="16" t="s">
        <v>818</v>
      </c>
      <c r="E6" s="16" t="s">
        <v>819</v>
      </c>
      <c r="F6" s="16" t="s">
        <v>820</v>
      </c>
      <c r="G6" s="16" t="s">
        <v>821</v>
      </c>
      <c r="H6" s="17" t="s">
        <v>822</v>
      </c>
      <c r="I6" s="18"/>
    </row>
    <row r="7" customFormat="false" ht="15" hidden="false" customHeight="false" outlineLevel="0" collapsed="false">
      <c r="A7" s="16" t="s">
        <v>811</v>
      </c>
      <c r="B7" s="16" t="s">
        <v>823</v>
      </c>
      <c r="C7" s="14" t="s">
        <v>824</v>
      </c>
      <c r="D7" s="16" t="s">
        <v>825</v>
      </c>
      <c r="E7" s="16" t="s">
        <v>826</v>
      </c>
      <c r="F7" s="16" t="s">
        <v>827</v>
      </c>
      <c r="G7" s="16" t="s">
        <v>828</v>
      </c>
      <c r="H7" s="17" t="s">
        <v>829</v>
      </c>
      <c r="I7" s="18"/>
    </row>
    <row r="8" customFormat="false" ht="15" hidden="false" customHeight="false" outlineLevel="0" collapsed="false">
      <c r="A8" s="16" t="s">
        <v>811</v>
      </c>
      <c r="B8" s="16" t="s">
        <v>830</v>
      </c>
      <c r="C8" s="14" t="s">
        <v>831</v>
      </c>
      <c r="D8" s="16" t="s">
        <v>825</v>
      </c>
      <c r="E8" s="16" t="s">
        <v>832</v>
      </c>
      <c r="F8" s="16" t="s">
        <v>833</v>
      </c>
      <c r="G8" s="16" t="s">
        <v>834</v>
      </c>
      <c r="H8" s="17" t="s">
        <v>835</v>
      </c>
      <c r="I8" s="18"/>
    </row>
    <row r="9" customFormat="false" ht="15" hidden="false" customHeight="false" outlineLevel="0" collapsed="false">
      <c r="A9" s="16" t="s">
        <v>811</v>
      </c>
      <c r="B9" s="16" t="s">
        <v>836</v>
      </c>
      <c r="C9" s="14" t="s">
        <v>837</v>
      </c>
      <c r="D9" s="16" t="s">
        <v>825</v>
      </c>
      <c r="E9" s="16" t="s">
        <v>838</v>
      </c>
      <c r="F9" s="16" t="s">
        <v>503</v>
      </c>
      <c r="G9" s="16" t="s">
        <v>839</v>
      </c>
      <c r="H9" s="17" t="s">
        <v>840</v>
      </c>
      <c r="I9" s="18"/>
    </row>
    <row r="10" customFormat="false" ht="15" hidden="false" customHeight="false" outlineLevel="0" collapsed="false">
      <c r="A10" s="16" t="s">
        <v>811</v>
      </c>
      <c r="B10" s="16" t="s">
        <v>841</v>
      </c>
      <c r="C10" s="14" t="s">
        <v>842</v>
      </c>
      <c r="D10" s="16" t="s">
        <v>843</v>
      </c>
      <c r="E10" s="16" t="s">
        <v>844</v>
      </c>
      <c r="F10" s="16" t="s">
        <v>845</v>
      </c>
      <c r="G10" s="16" t="s">
        <v>846</v>
      </c>
      <c r="H10" s="17" t="s">
        <v>847</v>
      </c>
      <c r="I10" s="18"/>
    </row>
    <row r="11" customFormat="false" ht="15" hidden="false" customHeight="false" outlineLevel="0" collapsed="false">
      <c r="A11" s="16" t="s">
        <v>811</v>
      </c>
      <c r="B11" s="16" t="s">
        <v>848</v>
      </c>
      <c r="C11" s="14" t="s">
        <v>849</v>
      </c>
      <c r="D11" s="16" t="s">
        <v>850</v>
      </c>
      <c r="E11" s="16" t="s">
        <v>851</v>
      </c>
      <c r="F11" s="16" t="s">
        <v>852</v>
      </c>
      <c r="G11" s="16" t="s">
        <v>853</v>
      </c>
      <c r="H11" s="17" t="s">
        <v>854</v>
      </c>
      <c r="I11" s="18"/>
    </row>
    <row r="12" customFormat="false" ht="23.85" hidden="false" customHeight="false" outlineLevel="0" collapsed="false">
      <c r="A12" s="16" t="s">
        <v>811</v>
      </c>
      <c r="B12" s="16" t="s">
        <v>855</v>
      </c>
      <c r="C12" s="14" t="s">
        <v>856</v>
      </c>
      <c r="D12" s="16" t="s">
        <v>850</v>
      </c>
      <c r="E12" s="16" t="s">
        <v>857</v>
      </c>
      <c r="F12" s="16" t="s">
        <v>858</v>
      </c>
      <c r="G12" s="16" t="s">
        <v>859</v>
      </c>
      <c r="H12" s="17" t="s">
        <v>860</v>
      </c>
      <c r="I12" s="18"/>
    </row>
    <row r="13" customFormat="false" ht="15" hidden="false" customHeight="false" outlineLevel="0" collapsed="false">
      <c r="A13" s="16" t="s">
        <v>811</v>
      </c>
      <c r="B13" s="16" t="s">
        <v>861</v>
      </c>
      <c r="C13" s="14" t="s">
        <v>862</v>
      </c>
      <c r="D13" s="20" t="s">
        <v>863</v>
      </c>
      <c r="E13" s="16" t="s">
        <v>31</v>
      </c>
      <c r="F13" s="16" t="s">
        <v>864</v>
      </c>
      <c r="G13" s="16" t="s">
        <v>865</v>
      </c>
      <c r="H13" s="17" t="s">
        <v>866</v>
      </c>
      <c r="I13" s="18"/>
    </row>
    <row r="14" customFormat="false" ht="15" hidden="false" customHeight="false" outlineLevel="0" collapsed="false">
      <c r="A14" s="16" t="s">
        <v>811</v>
      </c>
      <c r="B14" s="16" t="s">
        <v>867</v>
      </c>
      <c r="C14" s="14" t="s">
        <v>868</v>
      </c>
      <c r="D14" s="16" t="s">
        <v>825</v>
      </c>
      <c r="E14" s="16" t="s">
        <v>869</v>
      </c>
      <c r="F14" s="16" t="s">
        <v>870</v>
      </c>
      <c r="G14" s="16" t="s">
        <v>871</v>
      </c>
      <c r="H14" s="17" t="s">
        <v>872</v>
      </c>
      <c r="I14" s="18"/>
    </row>
    <row r="15" customFormat="false" ht="15" hidden="false" customHeight="false" outlineLevel="0" collapsed="false">
      <c r="A15" s="16" t="s">
        <v>811</v>
      </c>
      <c r="B15" s="16" t="s">
        <v>873</v>
      </c>
      <c r="C15" s="14" t="s">
        <v>874</v>
      </c>
      <c r="D15" s="16" t="s">
        <v>850</v>
      </c>
      <c r="E15" s="16" t="s">
        <v>875</v>
      </c>
      <c r="F15" s="16" t="s">
        <v>876</v>
      </c>
      <c r="G15" s="16" t="s">
        <v>877</v>
      </c>
      <c r="H15" s="17" t="s">
        <v>878</v>
      </c>
      <c r="I15" s="18"/>
    </row>
    <row r="16" customFormat="false" ht="15" hidden="false" customHeight="false" outlineLevel="0" collapsed="false">
      <c r="A16" s="16" t="s">
        <v>811</v>
      </c>
      <c r="B16" s="16" t="s">
        <v>879</v>
      </c>
      <c r="C16" s="14" t="s">
        <v>880</v>
      </c>
      <c r="D16" s="16" t="s">
        <v>850</v>
      </c>
      <c r="E16" s="16" t="s">
        <v>881</v>
      </c>
      <c r="F16" s="16" t="s">
        <v>882</v>
      </c>
      <c r="G16" s="16" t="s">
        <v>883</v>
      </c>
      <c r="H16" s="17" t="s">
        <v>884</v>
      </c>
      <c r="I16" s="18"/>
    </row>
    <row r="17" customFormat="false" ht="15" hidden="false" customHeight="false" outlineLevel="0" collapsed="false">
      <c r="A17" s="16" t="s">
        <v>811</v>
      </c>
      <c r="B17" s="16" t="s">
        <v>885</v>
      </c>
      <c r="C17" s="14" t="s">
        <v>886</v>
      </c>
      <c r="D17" s="16" t="s">
        <v>825</v>
      </c>
      <c r="E17" s="16" t="s">
        <v>887</v>
      </c>
      <c r="F17" s="16" t="s">
        <v>888</v>
      </c>
      <c r="G17" s="16" t="s">
        <v>889</v>
      </c>
      <c r="H17" s="17" t="s">
        <v>890</v>
      </c>
      <c r="I17" s="18"/>
    </row>
    <row r="18" customFormat="false" ht="15" hidden="false" customHeight="false" outlineLevel="0" collapsed="false">
      <c r="A18" s="16" t="s">
        <v>811</v>
      </c>
      <c r="B18" s="16" t="s">
        <v>891</v>
      </c>
      <c r="C18" s="14" t="s">
        <v>892</v>
      </c>
      <c r="D18" s="16" t="s">
        <v>893</v>
      </c>
      <c r="E18" s="16" t="s">
        <v>894</v>
      </c>
      <c r="F18" s="16" t="s">
        <v>895</v>
      </c>
      <c r="G18" s="16" t="s">
        <v>896</v>
      </c>
      <c r="H18" s="17" t="s">
        <v>897</v>
      </c>
      <c r="I18" s="18"/>
    </row>
    <row r="19" customFormat="false" ht="23.85" hidden="false" customHeight="false" outlineLevel="0" collapsed="false">
      <c r="A19" s="16" t="s">
        <v>811</v>
      </c>
      <c r="B19" s="16" t="s">
        <v>898</v>
      </c>
      <c r="C19" s="14" t="s">
        <v>899</v>
      </c>
      <c r="D19" s="16" t="s">
        <v>825</v>
      </c>
      <c r="E19" s="16" t="s">
        <v>900</v>
      </c>
      <c r="F19" s="16" t="s">
        <v>901</v>
      </c>
      <c r="G19" s="16" t="s">
        <v>902</v>
      </c>
      <c r="H19" s="17" t="s">
        <v>903</v>
      </c>
      <c r="I19" s="18"/>
    </row>
    <row r="20" customFormat="false" ht="23.85" hidden="false" customHeight="false" outlineLevel="0" collapsed="false">
      <c r="A20" s="16" t="s">
        <v>811</v>
      </c>
      <c r="B20" s="16" t="s">
        <v>904</v>
      </c>
      <c r="C20" s="14" t="s">
        <v>905</v>
      </c>
      <c r="D20" s="16" t="s">
        <v>906</v>
      </c>
      <c r="E20" s="16" t="s">
        <v>907</v>
      </c>
      <c r="F20" s="16" t="s">
        <v>908</v>
      </c>
      <c r="G20" s="16" t="s">
        <v>909</v>
      </c>
      <c r="H20" s="17" t="s">
        <v>910</v>
      </c>
      <c r="I20" s="18"/>
    </row>
    <row r="21" customFormat="false" ht="15" hidden="false" customHeight="false" outlineLevel="0" collapsed="false">
      <c r="A21" s="16" t="s">
        <v>811</v>
      </c>
      <c r="B21" s="16" t="s">
        <v>911</v>
      </c>
      <c r="C21" s="14" t="s">
        <v>912</v>
      </c>
      <c r="D21" s="16" t="s">
        <v>913</v>
      </c>
      <c r="E21" s="16" t="s">
        <v>914</v>
      </c>
      <c r="F21" s="16" t="s">
        <v>915</v>
      </c>
      <c r="G21" s="16" t="s">
        <v>916</v>
      </c>
      <c r="H21" s="17" t="s">
        <v>917</v>
      </c>
      <c r="I21" s="18"/>
    </row>
    <row r="22" customFormat="false" ht="15" hidden="false" customHeight="false" outlineLevel="0" collapsed="false">
      <c r="A22" s="16" t="s">
        <v>918</v>
      </c>
      <c r="B22" s="16" t="s">
        <v>919</v>
      </c>
      <c r="C22" s="14" t="s">
        <v>920</v>
      </c>
      <c r="D22" s="16" t="s">
        <v>850</v>
      </c>
      <c r="E22" s="16" t="s">
        <v>921</v>
      </c>
      <c r="F22" s="16" t="s">
        <v>922</v>
      </c>
      <c r="G22" s="16" t="s">
        <v>923</v>
      </c>
      <c r="H22" s="17" t="s">
        <v>924</v>
      </c>
      <c r="I22" s="18"/>
    </row>
    <row r="23" customFormat="false" ht="15" hidden="false" customHeight="false" outlineLevel="0" collapsed="false">
      <c r="A23" s="16" t="s">
        <v>918</v>
      </c>
      <c r="B23" s="16" t="s">
        <v>925</v>
      </c>
      <c r="C23" s="14" t="s">
        <v>926</v>
      </c>
      <c r="D23" s="16" t="s">
        <v>843</v>
      </c>
      <c r="E23" s="16" t="s">
        <v>844</v>
      </c>
      <c r="F23" s="16" t="s">
        <v>845</v>
      </c>
      <c r="G23" s="16" t="s">
        <v>927</v>
      </c>
      <c r="H23" s="17" t="s">
        <v>847</v>
      </c>
      <c r="I23" s="18"/>
    </row>
    <row r="24" customFormat="false" ht="23.85" hidden="false" customHeight="false" outlineLevel="0" collapsed="false">
      <c r="A24" s="16" t="s">
        <v>918</v>
      </c>
      <c r="B24" s="16" t="s">
        <v>928</v>
      </c>
      <c r="C24" s="14" t="s">
        <v>929</v>
      </c>
      <c r="D24" s="16" t="s">
        <v>825</v>
      </c>
      <c r="E24" s="16" t="s">
        <v>930</v>
      </c>
      <c r="F24" s="16" t="s">
        <v>931</v>
      </c>
      <c r="G24" s="16" t="s">
        <v>932</v>
      </c>
      <c r="H24" s="17" t="s">
        <v>933</v>
      </c>
      <c r="I24" s="18"/>
    </row>
    <row r="25" customFormat="false" ht="15" hidden="false" customHeight="false" outlineLevel="0" collapsed="false">
      <c r="A25" s="16" t="s">
        <v>918</v>
      </c>
      <c r="B25" s="16" t="s">
        <v>934</v>
      </c>
      <c r="C25" s="14" t="s">
        <v>935</v>
      </c>
      <c r="D25" s="16" t="s">
        <v>825</v>
      </c>
      <c r="E25" s="16" t="s">
        <v>936</v>
      </c>
      <c r="F25" s="16" t="s">
        <v>937</v>
      </c>
      <c r="G25" s="16" t="s">
        <v>938</v>
      </c>
      <c r="H25" s="17" t="s">
        <v>939</v>
      </c>
      <c r="I25" s="18"/>
    </row>
    <row r="26" customFormat="false" ht="15" hidden="false" customHeight="false" outlineLevel="0" collapsed="false">
      <c r="A26" s="16" t="s">
        <v>918</v>
      </c>
      <c r="B26" s="16" t="s">
        <v>940</v>
      </c>
      <c r="C26" s="14" t="s">
        <v>941</v>
      </c>
      <c r="D26" s="16" t="s">
        <v>825</v>
      </c>
      <c r="E26" s="16" t="s">
        <v>942</v>
      </c>
      <c r="F26" s="16" t="s">
        <v>943</v>
      </c>
      <c r="G26" s="16" t="s">
        <v>944</v>
      </c>
      <c r="H26" s="17" t="s">
        <v>945</v>
      </c>
      <c r="I26" s="18"/>
    </row>
    <row r="27" customFormat="false" ht="15" hidden="false" customHeight="false" outlineLevel="0" collapsed="false">
      <c r="A27" s="16" t="s">
        <v>918</v>
      </c>
      <c r="B27" s="16" t="s">
        <v>946</v>
      </c>
      <c r="C27" s="14" t="s">
        <v>947</v>
      </c>
      <c r="D27" s="16" t="s">
        <v>813</v>
      </c>
      <c r="E27" s="16" t="s">
        <v>844</v>
      </c>
      <c r="F27" s="16" t="s">
        <v>663</v>
      </c>
      <c r="G27" s="16" t="s">
        <v>948</v>
      </c>
      <c r="H27" s="17" t="s">
        <v>669</v>
      </c>
      <c r="I27" s="18"/>
    </row>
    <row r="28" customFormat="false" ht="15" hidden="false" customHeight="false" outlineLevel="0" collapsed="false">
      <c r="A28" s="16" t="s">
        <v>918</v>
      </c>
      <c r="B28" s="16" t="s">
        <v>949</v>
      </c>
      <c r="C28" s="14" t="s">
        <v>950</v>
      </c>
      <c r="D28" s="20" t="s">
        <v>863</v>
      </c>
      <c r="E28" s="16" t="s">
        <v>31</v>
      </c>
      <c r="F28" s="16" t="s">
        <v>198</v>
      </c>
      <c r="G28" s="16" t="s">
        <v>951</v>
      </c>
      <c r="H28" s="17" t="s">
        <v>952</v>
      </c>
      <c r="I28" s="18"/>
    </row>
    <row r="29" customFormat="false" ht="15" hidden="false" customHeight="false" outlineLevel="0" collapsed="false">
      <c r="A29" s="16" t="s">
        <v>953</v>
      </c>
      <c r="B29" s="16" t="s">
        <v>685</v>
      </c>
      <c r="C29" s="14" t="s">
        <v>682</v>
      </c>
      <c r="D29" s="16" t="s">
        <v>813</v>
      </c>
      <c r="E29" s="16" t="s">
        <v>844</v>
      </c>
      <c r="F29" s="16" t="s">
        <v>684</v>
      </c>
      <c r="G29" s="16" t="s">
        <v>954</v>
      </c>
      <c r="H29" s="17" t="s">
        <v>690</v>
      </c>
      <c r="I29" s="18"/>
    </row>
    <row r="30" customFormat="false" ht="23.85" hidden="false" customHeight="false" outlineLevel="0" collapsed="false">
      <c r="A30" s="16" t="s">
        <v>953</v>
      </c>
      <c r="B30" s="16" t="s">
        <v>955</v>
      </c>
      <c r="C30" s="14" t="s">
        <v>956</v>
      </c>
      <c r="D30" s="16" t="s">
        <v>843</v>
      </c>
      <c r="E30" s="16" t="s">
        <v>844</v>
      </c>
      <c r="F30" s="16" t="s">
        <v>845</v>
      </c>
      <c r="G30" s="16" t="s">
        <v>957</v>
      </c>
      <c r="H30" s="17" t="s">
        <v>847</v>
      </c>
      <c r="I30" s="18"/>
    </row>
    <row r="31" customFormat="false" ht="15" hidden="false" customHeight="false" outlineLevel="0" collapsed="false">
      <c r="A31" s="16" t="s">
        <v>953</v>
      </c>
      <c r="B31" s="16" t="s">
        <v>958</v>
      </c>
      <c r="C31" s="14" t="s">
        <v>959</v>
      </c>
      <c r="D31" s="16" t="s">
        <v>825</v>
      </c>
      <c r="E31" s="16" t="s">
        <v>960</v>
      </c>
      <c r="F31" s="16" t="s">
        <v>961</v>
      </c>
      <c r="G31" s="16" t="s">
        <v>962</v>
      </c>
      <c r="H31" s="17" t="s">
        <v>963</v>
      </c>
      <c r="I31" s="18"/>
    </row>
    <row r="32" customFormat="false" ht="15" hidden="false" customHeight="false" outlineLevel="0" collapsed="false">
      <c r="A32" s="16" t="s">
        <v>953</v>
      </c>
      <c r="B32" s="16" t="s">
        <v>958</v>
      </c>
      <c r="C32" s="14" t="s">
        <v>964</v>
      </c>
      <c r="D32" s="16" t="s">
        <v>850</v>
      </c>
      <c r="E32" s="16" t="s">
        <v>965</v>
      </c>
      <c r="F32" s="16" t="s">
        <v>966</v>
      </c>
      <c r="G32" s="16" t="s">
        <v>967</v>
      </c>
      <c r="H32" s="17" t="s">
        <v>968</v>
      </c>
      <c r="I32" s="18"/>
    </row>
    <row r="33" customFormat="false" ht="15" hidden="false" customHeight="false" outlineLevel="0" collapsed="false">
      <c r="A33" s="16" t="s">
        <v>953</v>
      </c>
      <c r="B33" s="16" t="s">
        <v>958</v>
      </c>
      <c r="C33" s="14" t="s">
        <v>969</v>
      </c>
      <c r="D33" s="16" t="s">
        <v>850</v>
      </c>
      <c r="E33" s="16" t="s">
        <v>970</v>
      </c>
      <c r="F33" s="16" t="s">
        <v>971</v>
      </c>
      <c r="G33" s="16" t="s">
        <v>972</v>
      </c>
      <c r="H33" s="17" t="s">
        <v>973</v>
      </c>
      <c r="I33" s="18"/>
    </row>
    <row r="34" customFormat="false" ht="15" hidden="false" customHeight="false" outlineLevel="0" collapsed="false">
      <c r="A34" s="16" t="s">
        <v>953</v>
      </c>
      <c r="B34" s="16" t="s">
        <v>974</v>
      </c>
      <c r="C34" s="14" t="s">
        <v>975</v>
      </c>
      <c r="D34" s="16" t="s">
        <v>976</v>
      </c>
      <c r="E34" s="16" t="s">
        <v>844</v>
      </c>
      <c r="F34" s="16" t="s">
        <v>977</v>
      </c>
      <c r="G34" s="16" t="s">
        <v>978</v>
      </c>
      <c r="H34" s="17" t="s">
        <v>643</v>
      </c>
      <c r="I34" s="18"/>
    </row>
    <row r="35" customFormat="false" ht="15" hidden="false" customHeight="false" outlineLevel="0" collapsed="false">
      <c r="A35" s="16" t="s">
        <v>953</v>
      </c>
      <c r="B35" s="16" t="s">
        <v>979</v>
      </c>
      <c r="C35" s="14" t="s">
        <v>980</v>
      </c>
      <c r="D35" s="16" t="s">
        <v>825</v>
      </c>
      <c r="E35" s="16" t="s">
        <v>981</v>
      </c>
      <c r="F35" s="16" t="s">
        <v>864</v>
      </c>
      <c r="G35" s="16" t="s">
        <v>982</v>
      </c>
      <c r="H35" s="17" t="s">
        <v>866</v>
      </c>
      <c r="I35" s="18"/>
    </row>
    <row r="36" customFormat="false" ht="15" hidden="false" customHeight="false" outlineLevel="0" collapsed="false">
      <c r="A36" s="16" t="s">
        <v>953</v>
      </c>
      <c r="B36" s="16" t="s">
        <v>983</v>
      </c>
      <c r="C36" s="14" t="s">
        <v>984</v>
      </c>
      <c r="D36" s="16" t="s">
        <v>813</v>
      </c>
      <c r="E36" s="16" t="s">
        <v>844</v>
      </c>
      <c r="F36" s="16" t="s">
        <v>654</v>
      </c>
      <c r="G36" s="16" t="s">
        <v>985</v>
      </c>
      <c r="H36" s="17" t="s">
        <v>660</v>
      </c>
      <c r="I36" s="18"/>
    </row>
    <row r="37" customFormat="false" ht="23.85" hidden="false" customHeight="false" outlineLevel="0" collapsed="false">
      <c r="A37" s="16" t="s">
        <v>986</v>
      </c>
      <c r="B37" s="16" t="s">
        <v>987</v>
      </c>
      <c r="C37" s="14" t="s">
        <v>988</v>
      </c>
      <c r="D37" s="16" t="s">
        <v>906</v>
      </c>
      <c r="E37" s="16" t="s">
        <v>989</v>
      </c>
      <c r="F37" s="16" t="s">
        <v>990</v>
      </c>
      <c r="G37" s="16" t="s">
        <v>991</v>
      </c>
      <c r="H37" s="17" t="s">
        <v>992</v>
      </c>
      <c r="I37" s="18"/>
    </row>
    <row r="38" customFormat="false" ht="23.85" hidden="false" customHeight="false" outlineLevel="0" collapsed="false">
      <c r="A38" s="16" t="s">
        <v>986</v>
      </c>
      <c r="B38" s="16" t="s">
        <v>993</v>
      </c>
      <c r="C38" s="14" t="s">
        <v>994</v>
      </c>
      <c r="D38" s="16" t="s">
        <v>976</v>
      </c>
      <c r="E38" s="16" t="s">
        <v>844</v>
      </c>
      <c r="F38" s="16" t="s">
        <v>503</v>
      </c>
      <c r="G38" s="16" t="s">
        <v>995</v>
      </c>
      <c r="H38" s="17" t="s">
        <v>510</v>
      </c>
      <c r="I38" s="18"/>
    </row>
    <row r="39" customFormat="false" ht="15" hidden="false" customHeight="false" outlineLevel="0" collapsed="false">
      <c r="A39" s="16" t="s">
        <v>986</v>
      </c>
      <c r="B39" s="16" t="s">
        <v>996</v>
      </c>
      <c r="C39" s="14" t="s">
        <v>997</v>
      </c>
      <c r="D39" s="16" t="s">
        <v>825</v>
      </c>
      <c r="E39" s="16" t="s">
        <v>998</v>
      </c>
      <c r="F39" s="16" t="s">
        <v>999</v>
      </c>
      <c r="G39" s="16" t="s">
        <v>1000</v>
      </c>
      <c r="H39" s="17" t="s">
        <v>1001</v>
      </c>
      <c r="I39" s="18"/>
    </row>
    <row r="40" customFormat="false" ht="23.85" hidden="false" customHeight="false" outlineLevel="0" collapsed="false">
      <c r="A40" s="16" t="s">
        <v>1002</v>
      </c>
      <c r="B40" s="16" t="s">
        <v>1003</v>
      </c>
      <c r="C40" s="14" t="s">
        <v>1004</v>
      </c>
      <c r="D40" s="16" t="s">
        <v>1005</v>
      </c>
      <c r="E40" s="16" t="s">
        <v>844</v>
      </c>
      <c r="F40" s="16" t="s">
        <v>550</v>
      </c>
      <c r="G40" s="16" t="s">
        <v>1006</v>
      </c>
      <c r="H40" s="17" t="s">
        <v>559</v>
      </c>
      <c r="I40" s="18"/>
    </row>
    <row r="41" customFormat="false" ht="15" hidden="false" customHeight="false" outlineLevel="0" collapsed="false">
      <c r="A41" s="16" t="s">
        <v>1002</v>
      </c>
      <c r="B41" s="16" t="s">
        <v>1007</v>
      </c>
      <c r="C41" s="14" t="s">
        <v>1008</v>
      </c>
      <c r="D41" s="16" t="s">
        <v>825</v>
      </c>
      <c r="E41" s="16" t="s">
        <v>1009</v>
      </c>
      <c r="F41" s="16" t="s">
        <v>1010</v>
      </c>
      <c r="G41" s="16" t="s">
        <v>1011</v>
      </c>
      <c r="H41" s="17" t="s">
        <v>1012</v>
      </c>
      <c r="I41" s="18"/>
    </row>
    <row r="42" customFormat="false" ht="15" hidden="false" customHeight="false" outlineLevel="0" collapsed="false">
      <c r="A42" s="16" t="s">
        <v>1002</v>
      </c>
      <c r="B42" s="16" t="s">
        <v>1013</v>
      </c>
      <c r="C42" s="14" t="s">
        <v>1014</v>
      </c>
      <c r="D42" s="16" t="s">
        <v>976</v>
      </c>
      <c r="E42" s="16" t="s">
        <v>844</v>
      </c>
      <c r="F42" s="16" t="s">
        <v>493</v>
      </c>
      <c r="G42" s="16" t="s">
        <v>1015</v>
      </c>
      <c r="H42" s="17" t="s">
        <v>500</v>
      </c>
      <c r="I42" s="18"/>
    </row>
    <row r="43" customFormat="false" ht="15" hidden="false" customHeight="false" outlineLevel="0" collapsed="false">
      <c r="A43" s="16" t="s">
        <v>1002</v>
      </c>
      <c r="B43" s="16" t="s">
        <v>1016</v>
      </c>
      <c r="C43" s="14" t="s">
        <v>1017</v>
      </c>
      <c r="D43" s="16" t="s">
        <v>850</v>
      </c>
      <c r="E43" s="16" t="s">
        <v>1018</v>
      </c>
      <c r="F43" s="16" t="s">
        <v>1019</v>
      </c>
      <c r="G43" s="16" t="s">
        <v>1020</v>
      </c>
      <c r="H43" s="17" t="s">
        <v>1021</v>
      </c>
      <c r="I43" s="18"/>
    </row>
    <row r="44" customFormat="false" ht="23.85" hidden="false" customHeight="false" outlineLevel="0" collapsed="false">
      <c r="A44" s="16" t="s">
        <v>1022</v>
      </c>
      <c r="B44" s="16" t="s">
        <v>1023</v>
      </c>
      <c r="C44" s="14" t="s">
        <v>1024</v>
      </c>
      <c r="D44" s="16" t="s">
        <v>976</v>
      </c>
      <c r="E44" s="16" t="s">
        <v>844</v>
      </c>
      <c r="F44" s="16" t="s">
        <v>503</v>
      </c>
      <c r="G44" s="16" t="s">
        <v>1025</v>
      </c>
      <c r="H44" s="17" t="s">
        <v>1026</v>
      </c>
      <c r="I44" s="18"/>
    </row>
    <row r="45" customFormat="false" ht="23.85" hidden="false" customHeight="false" outlineLevel="0" collapsed="false">
      <c r="A45" s="16" t="s">
        <v>1022</v>
      </c>
      <c r="B45" s="16" t="s">
        <v>1027</v>
      </c>
      <c r="C45" s="14" t="s">
        <v>1028</v>
      </c>
      <c r="D45" s="16" t="s">
        <v>825</v>
      </c>
      <c r="E45" s="16" t="s">
        <v>936</v>
      </c>
      <c r="F45" s="16" t="s">
        <v>1029</v>
      </c>
      <c r="G45" s="16" t="s">
        <v>1030</v>
      </c>
      <c r="H45" s="17" t="s">
        <v>1031</v>
      </c>
      <c r="I45" s="18"/>
    </row>
    <row r="46" customFormat="false" ht="15" hidden="false" customHeight="false" outlineLevel="0" collapsed="false">
      <c r="A46" s="16" t="s">
        <v>1022</v>
      </c>
      <c r="B46" s="16" t="s">
        <v>1032</v>
      </c>
      <c r="C46" s="14" t="s">
        <v>1033</v>
      </c>
      <c r="D46" s="16" t="s">
        <v>825</v>
      </c>
      <c r="E46" s="16" t="s">
        <v>1034</v>
      </c>
      <c r="F46" s="16" t="s">
        <v>198</v>
      </c>
      <c r="G46" s="16" t="s">
        <v>1035</v>
      </c>
      <c r="H46" s="17" t="s">
        <v>952</v>
      </c>
      <c r="I46" s="18"/>
    </row>
    <row r="47" customFormat="false" ht="15" hidden="false" customHeight="false" outlineLevel="0" collapsed="false">
      <c r="A47" s="16" t="s">
        <v>1022</v>
      </c>
      <c r="B47" s="16" t="s">
        <v>1036</v>
      </c>
      <c r="C47" s="14" t="s">
        <v>1037</v>
      </c>
      <c r="D47" s="16" t="s">
        <v>825</v>
      </c>
      <c r="E47" s="16" t="s">
        <v>894</v>
      </c>
      <c r="F47" s="16" t="s">
        <v>931</v>
      </c>
      <c r="G47" s="16" t="s">
        <v>1038</v>
      </c>
      <c r="H47" s="17" t="s">
        <v>1039</v>
      </c>
      <c r="I47" s="18"/>
    </row>
    <row r="48" customFormat="false" ht="23.85" hidden="false" customHeight="false" outlineLevel="0" collapsed="false">
      <c r="A48" s="16" t="s">
        <v>1022</v>
      </c>
      <c r="B48" s="16" t="s">
        <v>1040</v>
      </c>
      <c r="C48" s="14" t="s">
        <v>1041</v>
      </c>
      <c r="D48" s="16" t="s">
        <v>976</v>
      </c>
      <c r="E48" s="16" t="s">
        <v>844</v>
      </c>
      <c r="F48" s="16" t="s">
        <v>493</v>
      </c>
      <c r="G48" s="16" t="s">
        <v>1042</v>
      </c>
      <c r="H48" s="17" t="s">
        <v>500</v>
      </c>
      <c r="I48" s="18"/>
    </row>
    <row r="49" customFormat="false" ht="15" hidden="false" customHeight="false" outlineLevel="0" collapsed="false">
      <c r="A49" s="16" t="s">
        <v>1022</v>
      </c>
      <c r="B49" s="16" t="s">
        <v>1043</v>
      </c>
      <c r="C49" s="14" t="s">
        <v>1044</v>
      </c>
      <c r="D49" s="16" t="s">
        <v>1045</v>
      </c>
      <c r="E49" s="16" t="s">
        <v>1046</v>
      </c>
      <c r="F49" s="16" t="s">
        <v>1047</v>
      </c>
      <c r="G49" s="16" t="s">
        <v>1048</v>
      </c>
      <c r="H49" s="17" t="s">
        <v>1049</v>
      </c>
      <c r="I49" s="18"/>
    </row>
    <row r="50" customFormat="false" ht="15" hidden="false" customHeight="false" outlineLevel="0" collapsed="false">
      <c r="A50" s="16" t="s">
        <v>1050</v>
      </c>
      <c r="B50" s="16" t="s">
        <v>1051</v>
      </c>
      <c r="C50" s="14" t="s">
        <v>1052</v>
      </c>
      <c r="D50" s="16" t="s">
        <v>850</v>
      </c>
      <c r="E50" s="16" t="s">
        <v>942</v>
      </c>
      <c r="F50" s="16" t="s">
        <v>1053</v>
      </c>
      <c r="G50" s="16" t="s">
        <v>1020</v>
      </c>
      <c r="H50" s="17" t="s">
        <v>1021</v>
      </c>
      <c r="I50" s="18"/>
    </row>
    <row r="51" customFormat="false" ht="15" hidden="false" customHeight="false" outlineLevel="0" collapsed="false">
      <c r="A51" s="16" t="s">
        <v>1050</v>
      </c>
      <c r="B51" s="16" t="s">
        <v>1054</v>
      </c>
      <c r="C51" s="14" t="s">
        <v>1055</v>
      </c>
      <c r="D51" s="16" t="s">
        <v>976</v>
      </c>
      <c r="E51" s="16" t="s">
        <v>844</v>
      </c>
      <c r="F51" s="16" t="s">
        <v>1056</v>
      </c>
      <c r="G51" s="16" t="s">
        <v>1057</v>
      </c>
      <c r="H51" s="17" t="s">
        <v>577</v>
      </c>
      <c r="I51" s="18"/>
    </row>
    <row r="52" customFormat="false" ht="15" hidden="false" customHeight="false" outlineLevel="0" collapsed="false">
      <c r="A52" s="16" t="s">
        <v>1058</v>
      </c>
      <c r="B52" s="16" t="s">
        <v>1059</v>
      </c>
      <c r="C52" s="14" t="s">
        <v>1060</v>
      </c>
      <c r="D52" s="16" t="s">
        <v>825</v>
      </c>
      <c r="E52" s="16" t="s">
        <v>1061</v>
      </c>
      <c r="F52" s="16" t="s">
        <v>503</v>
      </c>
      <c r="G52" s="16" t="s">
        <v>1062</v>
      </c>
      <c r="H52" s="17" t="s">
        <v>1063</v>
      </c>
      <c r="I52" s="18"/>
    </row>
    <row r="53" customFormat="false" ht="15" hidden="false" customHeight="false" outlineLevel="0" collapsed="false">
      <c r="A53" s="16" t="s">
        <v>1058</v>
      </c>
      <c r="B53" s="16" t="s">
        <v>1064</v>
      </c>
      <c r="C53" s="14" t="s">
        <v>1065</v>
      </c>
      <c r="D53" s="16" t="s">
        <v>825</v>
      </c>
      <c r="E53" s="16" t="s">
        <v>1066</v>
      </c>
      <c r="F53" s="16" t="s">
        <v>493</v>
      </c>
      <c r="G53" s="16" t="s">
        <v>1067</v>
      </c>
      <c r="H53" s="17" t="s">
        <v>1068</v>
      </c>
      <c r="I53" s="18"/>
    </row>
    <row r="54" customFormat="false" ht="23.85" hidden="false" customHeight="false" outlineLevel="0" collapsed="false">
      <c r="A54" s="16" t="s">
        <v>1069</v>
      </c>
      <c r="B54" s="16" t="s">
        <v>1070</v>
      </c>
      <c r="C54" s="14" t="s">
        <v>1071</v>
      </c>
      <c r="D54" s="16" t="s">
        <v>825</v>
      </c>
      <c r="E54" s="16" t="s">
        <v>1072</v>
      </c>
      <c r="F54" s="16" t="s">
        <v>937</v>
      </c>
      <c r="G54" s="16" t="s">
        <v>1073</v>
      </c>
      <c r="H54" s="17" t="s">
        <v>1074</v>
      </c>
      <c r="I54" s="18"/>
    </row>
    <row r="55" customFormat="false" ht="15" hidden="false" customHeight="false" outlineLevel="0" collapsed="false">
      <c r="A55" s="16" t="s">
        <v>1075</v>
      </c>
      <c r="B55" s="16" t="s">
        <v>1076</v>
      </c>
      <c r="C55" s="14" t="s">
        <v>1077</v>
      </c>
      <c r="D55" s="16" t="s">
        <v>825</v>
      </c>
      <c r="E55" s="16" t="s">
        <v>1078</v>
      </c>
      <c r="F55" s="16" t="s">
        <v>503</v>
      </c>
      <c r="G55" s="16" t="s">
        <v>1079</v>
      </c>
      <c r="H55" s="17" t="s">
        <v>939</v>
      </c>
      <c r="I55" s="18"/>
    </row>
    <row r="56" customFormat="false" ht="15" hidden="false" customHeight="false" outlineLevel="0" collapsed="false">
      <c r="A56" s="16" t="s">
        <v>1075</v>
      </c>
      <c r="B56" s="16" t="s">
        <v>1080</v>
      </c>
      <c r="C56" s="14" t="s">
        <v>1081</v>
      </c>
      <c r="D56" s="16" t="s">
        <v>825</v>
      </c>
      <c r="E56" s="16" t="s">
        <v>1082</v>
      </c>
      <c r="F56" s="16" t="s">
        <v>1047</v>
      </c>
      <c r="G56" s="16" t="s">
        <v>1083</v>
      </c>
      <c r="H56" s="17" t="s">
        <v>1084</v>
      </c>
      <c r="I56" s="18"/>
    </row>
    <row r="57" customFormat="false" ht="15" hidden="false" customHeight="false" outlineLevel="0" collapsed="false">
      <c r="A57" s="16" t="s">
        <v>1085</v>
      </c>
      <c r="B57" s="16" t="s">
        <v>1086</v>
      </c>
      <c r="C57" s="14" t="s">
        <v>1087</v>
      </c>
      <c r="D57" s="16" t="s">
        <v>813</v>
      </c>
      <c r="E57" s="16" t="s">
        <v>844</v>
      </c>
      <c r="F57" s="16" t="s">
        <v>1088</v>
      </c>
      <c r="G57" s="16" t="s">
        <v>1089</v>
      </c>
      <c r="H57" s="17" t="s">
        <v>680</v>
      </c>
      <c r="I57" s="18"/>
    </row>
    <row r="58" customFormat="false" ht="23.85" hidden="false" customHeight="false" outlineLevel="0" collapsed="false">
      <c r="A58" s="16" t="s">
        <v>1090</v>
      </c>
      <c r="B58" s="16" t="s">
        <v>1091</v>
      </c>
      <c r="C58" s="14" t="s">
        <v>1092</v>
      </c>
      <c r="D58" s="16" t="s">
        <v>825</v>
      </c>
      <c r="E58" s="16" t="s">
        <v>1093</v>
      </c>
      <c r="F58" s="16" t="s">
        <v>931</v>
      </c>
      <c r="G58" s="16" t="s">
        <v>1094</v>
      </c>
      <c r="H58" s="17" t="s">
        <v>1095</v>
      </c>
      <c r="I58" s="18"/>
    </row>
  </sheetData>
  <autoFilter ref="A4:I58"/>
  <hyperlinks>
    <hyperlink ref="H5" r:id="rId1" display="https://hacktoberfest.com"/>
    <hyperlink ref="H6" r:id="rId2" display="https://developers.google.com/community/devfest"/>
    <hyperlink ref="H7" r:id="rId3" display="https://lpc.events"/>
    <hyperlink ref="H8" r:id="rId4" display="https://www.opensourceindia.in"/>
    <hyperlink ref="H9" r:id="rId5" display="https://events.linuxfoundation.org/open-source-summit-europe/"/>
    <hyperlink ref="H10" r:id="rId6" display="https://ghw.mlh.com"/>
    <hyperlink ref="H11" r:id="rId7" display="https://gdg.community.dev/events/details/google-gdg-noida-presents-devfest-noida-2026/"/>
    <hyperlink ref="H12" r:id="rId8" display="https://devfest.gdgchennai.in"/>
    <hyperlink ref="H13" r:id="rId9" display="https://scipy.in/2026/"/>
    <hyperlink ref="H14" r:id="rId10" display="https://2026.allthingsopen.org"/>
    <hyperlink ref="H15" r:id="rId11" display="https://devfest.gdghyd.in"/>
    <hyperlink ref="H16" r:id="rId12" display="https://gdg.community.dev/events/details/google-gdg-baroda-presents-devfest-baroda-2026/"/>
    <hyperlink ref="H17" r:id="rId13" display="https://githubuniverse.com"/>
    <hyperlink ref="H18" r:id="rId14" display="https://www.mozillafoundation.org/en/festival/"/>
    <hyperlink ref="H19" r:id="rId15" display="https://www.reactindia.io"/>
    <hyperlink ref="H20" r:id="rId16" display="https://fossunited.org/c/mumbai"/>
    <hyperlink ref="H21" r:id="rId17" display="https://fossunited.org/events/timeline"/>
    <hyperlink ref="H22" r:id="rId18" display="https://devfest.gdggandhinagar.dev"/>
    <hyperlink ref="H23" r:id="rId19" display="https://ghw.mlh.com"/>
    <hyperlink ref="H24" r:id="rId20" display="https://events.linuxfoundation.org/kubecon-cloudnativecon-north-america/"/>
    <hyperlink ref="H25" r:id="rId21" display="https://events.linuxfoundation.org/about/calendar/"/>
    <hyperlink ref="H26" r:id="rId22" display="https://gopherconindia.org"/>
    <hyperlink ref="H27" r:id="rId23" display="https://kwoc.kossiitkgp.org"/>
    <hyperlink ref="H28" r:id="rId24" display="https://eventyay.com/fossasia/summit2027/"/>
    <hyperlink ref="H29" r:id="rId25" display="https://24pullrequests.com"/>
    <hyperlink ref="H30" r:id="rId26" display="https://ghw.mlh.com"/>
    <hyperlink ref="H31" r:id="rId27" display="https://opensourcecon.in"/>
    <hyperlink ref="H32" r:id="rId28" display="https://devfest26.gdgahmedabad.com"/>
    <hyperlink ref="H33" r:id="rId29" display="https://devfestmumbai.com"/>
    <hyperlink ref="H34" r:id="rId30" display="https://mentorship.kde.org/sok/"/>
    <hyperlink ref="H35" r:id="rId31" display="https://scipy.in/2026/"/>
    <hyperlink ref="H36" r:id="rId32" display="https://www.swoc.in"/>
    <hyperlink ref="H37" r:id="rId33" display="https://fossunited.org/c/mangalore"/>
    <hyperlink ref="H38" r:id="rId34" display="https://mentorship.lfx.linuxfoundation.org"/>
    <hyperlink ref="H39" r:id="rId35" display="https://fosdem.org/2027/"/>
    <hyperlink ref="H40" r:id="rId36" display="https://www.outreachy.org"/>
    <hyperlink ref="H41" r:id="rId37" display="https://2027.djangocon.eu"/>
    <hyperlink ref="H42" r:id="rId38" display="https://summerofcode.withgoogle.com"/>
    <hyperlink ref="H43" r:id="rId39" display="https://www.cncf.io/blog/2026/08/20/announcing-h1-2027-kcds/"/>
    <hyperlink ref="H44" r:id="rId40" display="https://docs.linuxfoundation.org/lfx/mentorship/mentorship-program-timelines"/>
    <hyperlink ref="H45" r:id="rId41" display="https://pgconf.in"/>
    <hyperlink ref="H46" r:id="rId42" display="https://eventyay.com/fossasia/summit2027/"/>
    <hyperlink ref="H47" r:id="rId43" display="https://events.linuxfoundation.org/kubecon-cloudnativecon-europe/"/>
    <hyperlink ref="H48" r:id="rId44" display="https://summerofcode.withgoogle.com"/>
    <hyperlink ref="H49" r:id="rId45" display="https://fossunited.org/fosshack/2026"/>
    <hyperlink ref="H50" r:id="rId46" display="https://www.cncf.io/blog/2026/08/20/announcing-h1-2027-kcds/"/>
    <hyperlink ref="H51" r:id="rId47" display="https://codeforgoodtech.in"/>
    <hyperlink ref="H52" r:id="rId48" display="https://events.linuxfoundation.org/open-source-summit-north-america/"/>
    <hyperlink ref="H53" r:id="rId49" display="https://io.google"/>
    <hyperlink ref="H54" r:id="rId50" display="https://events.linuxfoundation.org/kubecon-cloudnativecon-india/"/>
    <hyperlink ref="H55" r:id="rId51" display="https://events.linuxfoundation.org/about/calendar/"/>
    <hyperlink ref="H56" r:id="rId52" display="https://fossunited.org/indiafoss/2026"/>
    <hyperlink ref="H57" r:id="rId53" display="https://hacktoberfest.com"/>
    <hyperlink ref="H58" r:id="rId54" display="https://www.cncf.io/kubecon-cloudnativecon-even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46"/>
    <col collapsed="false" customWidth="true" hidden="false" outlineLevel="0" max="6" min="5" style="0" width="40"/>
    <col collapsed="false" customWidth="true" hidden="false" outlineLevel="0" max="7" min="7" style="0" width="8"/>
  </cols>
  <sheetData>
    <row r="1" customFormat="false" ht="18.55" hidden="false" customHeight="false" outlineLevel="0" collapsed="false">
      <c r="A1" s="1" t="s">
        <v>1096</v>
      </c>
    </row>
    <row r="2" customFormat="false" ht="15" hidden="false" customHeight="false" outlineLevel="0" collapsed="false">
      <c r="A2" s="2" t="s">
        <v>1097</v>
      </c>
    </row>
    <row r="4" customFormat="false" ht="36" hidden="false" customHeight="true" outlineLevel="0" collapsed="false">
      <c r="A4" s="12" t="s">
        <v>1098</v>
      </c>
      <c r="B4" s="12" t="s">
        <v>1099</v>
      </c>
      <c r="C4" s="12" t="s">
        <v>1100</v>
      </c>
      <c r="D4" s="12" t="s">
        <v>1101</v>
      </c>
      <c r="E4" s="12" t="s">
        <v>1102</v>
      </c>
      <c r="F4" s="12" t="s">
        <v>1103</v>
      </c>
      <c r="G4" s="12" t="s">
        <v>1104</v>
      </c>
    </row>
    <row r="5" customFormat="false" ht="43.25" hidden="false" customHeight="false" outlineLevel="0" collapsed="false">
      <c r="A5" s="13" t="n">
        <v>1</v>
      </c>
      <c r="B5" s="14" t="s">
        <v>1105</v>
      </c>
      <c r="C5" s="16" t="s">
        <v>1106</v>
      </c>
      <c r="D5" s="23" t="s">
        <v>1107</v>
      </c>
      <c r="E5" s="16" t="s">
        <v>1108</v>
      </c>
      <c r="F5" s="16" t="s">
        <v>1109</v>
      </c>
      <c r="G5" s="18"/>
    </row>
    <row r="6" customFormat="false" ht="23.85" hidden="false" customHeight="false" outlineLevel="0" collapsed="false">
      <c r="A6" s="13" t="n">
        <v>2</v>
      </c>
      <c r="B6" s="14" t="s">
        <v>1110</v>
      </c>
      <c r="C6" s="16" t="s">
        <v>1111</v>
      </c>
      <c r="D6" s="23" t="s">
        <v>31</v>
      </c>
      <c r="E6" s="16" t="s">
        <v>1112</v>
      </c>
      <c r="F6" s="16" t="s">
        <v>1113</v>
      </c>
      <c r="G6" s="18"/>
    </row>
    <row r="7" customFormat="false" ht="35.05" hidden="false" customHeight="false" outlineLevel="0" collapsed="false">
      <c r="A7" s="13" t="n">
        <v>3</v>
      </c>
      <c r="B7" s="14" t="s">
        <v>1114</v>
      </c>
      <c r="C7" s="16" t="s">
        <v>1115</v>
      </c>
      <c r="D7" s="23" t="s">
        <v>31</v>
      </c>
      <c r="E7" s="16" t="s">
        <v>1116</v>
      </c>
      <c r="F7" s="16" t="s">
        <v>1117</v>
      </c>
      <c r="G7" s="18"/>
    </row>
    <row r="8" customFormat="false" ht="23.85" hidden="false" customHeight="false" outlineLevel="0" collapsed="false">
      <c r="A8" s="13" t="n">
        <v>4</v>
      </c>
      <c r="B8" s="14" t="s">
        <v>1118</v>
      </c>
      <c r="C8" s="16" t="s">
        <v>1119</v>
      </c>
      <c r="D8" s="23" t="s">
        <v>31</v>
      </c>
      <c r="E8" s="16" t="s">
        <v>1120</v>
      </c>
      <c r="F8" s="16" t="s">
        <v>1121</v>
      </c>
      <c r="G8" s="18"/>
    </row>
    <row r="9" customFormat="false" ht="23.85" hidden="false" customHeight="false" outlineLevel="0" collapsed="false">
      <c r="A9" s="13" t="n">
        <v>5</v>
      </c>
      <c r="B9" s="14" t="s">
        <v>1122</v>
      </c>
      <c r="C9" s="16" t="s">
        <v>1123</v>
      </c>
      <c r="D9" s="23" t="s">
        <v>1124</v>
      </c>
      <c r="E9" s="16" t="s">
        <v>1125</v>
      </c>
      <c r="F9" s="16" t="s">
        <v>1126</v>
      </c>
      <c r="G9" s="18"/>
    </row>
    <row r="10" customFormat="false" ht="23.85" hidden="false" customHeight="false" outlineLevel="0" collapsed="false">
      <c r="A10" s="13" t="n">
        <v>6</v>
      </c>
      <c r="B10" s="14" t="s">
        <v>1127</v>
      </c>
      <c r="C10" s="16" t="s">
        <v>1128</v>
      </c>
      <c r="D10" s="23" t="s">
        <v>1129</v>
      </c>
      <c r="E10" s="16" t="s">
        <v>31</v>
      </c>
      <c r="F10" s="16" t="s">
        <v>1130</v>
      </c>
      <c r="G10" s="18"/>
    </row>
    <row r="11" customFormat="false" ht="43.25" hidden="false" customHeight="false" outlineLevel="0" collapsed="false">
      <c r="A11" s="13" t="n">
        <v>7</v>
      </c>
      <c r="B11" s="14" t="s">
        <v>1131</v>
      </c>
      <c r="C11" s="16" t="s">
        <v>1132</v>
      </c>
      <c r="D11" s="23" t="s">
        <v>1133</v>
      </c>
      <c r="E11" s="16" t="s">
        <v>31</v>
      </c>
      <c r="F11" s="16" t="s">
        <v>1134</v>
      </c>
      <c r="G11" s="18"/>
    </row>
    <row r="12" customFormat="false" ht="23.85" hidden="false" customHeight="false" outlineLevel="0" collapsed="false">
      <c r="A12" s="13" t="n">
        <v>8</v>
      </c>
      <c r="B12" s="14" t="s">
        <v>1135</v>
      </c>
      <c r="C12" s="16" t="s">
        <v>1136</v>
      </c>
      <c r="D12" s="23" t="s">
        <v>1137</v>
      </c>
      <c r="E12" s="16" t="s">
        <v>1138</v>
      </c>
      <c r="F12" s="16" t="s">
        <v>1139</v>
      </c>
      <c r="G12" s="18"/>
    </row>
    <row r="13" customFormat="false" ht="15" hidden="false" customHeight="false" outlineLevel="0" collapsed="false">
      <c r="A13" s="13" t="n">
        <v>9</v>
      </c>
      <c r="B13" s="14" t="s">
        <v>1140</v>
      </c>
      <c r="C13" s="16" t="s">
        <v>1141</v>
      </c>
      <c r="D13" s="23" t="s">
        <v>1142</v>
      </c>
      <c r="E13" s="16" t="s">
        <v>31</v>
      </c>
      <c r="F13" s="16" t="s">
        <v>1143</v>
      </c>
      <c r="G13" s="18"/>
    </row>
    <row r="14" customFormat="false" ht="35.05" hidden="false" customHeight="false" outlineLevel="0" collapsed="false">
      <c r="A14" s="13" t="n">
        <v>10</v>
      </c>
      <c r="B14" s="14" t="s">
        <v>1144</v>
      </c>
      <c r="C14" s="16" t="s">
        <v>1145</v>
      </c>
      <c r="D14" s="23" t="s">
        <v>1146</v>
      </c>
      <c r="E14" s="16" t="s">
        <v>1147</v>
      </c>
      <c r="F14" s="16" t="s">
        <v>1148</v>
      </c>
      <c r="G14" s="18"/>
    </row>
    <row r="15" customFormat="false" ht="23.85" hidden="false" customHeight="false" outlineLevel="0" collapsed="false">
      <c r="A15" s="13" t="n">
        <v>11</v>
      </c>
      <c r="B15" s="14" t="s">
        <v>1149</v>
      </c>
      <c r="C15" s="16" t="s">
        <v>1150</v>
      </c>
      <c r="D15" s="23" t="s">
        <v>31</v>
      </c>
      <c r="E15" s="16" t="s">
        <v>1151</v>
      </c>
      <c r="F15" s="16" t="s">
        <v>1152</v>
      </c>
      <c r="G15" s="18"/>
    </row>
    <row r="16" customFormat="false" ht="23.85" hidden="false" customHeight="false" outlineLevel="0" collapsed="false">
      <c r="A16" s="13" t="n">
        <v>12</v>
      </c>
      <c r="B16" s="14" t="s">
        <v>1153</v>
      </c>
      <c r="C16" s="16" t="s">
        <v>1154</v>
      </c>
      <c r="D16" s="23" t="s">
        <v>1155</v>
      </c>
      <c r="E16" s="16" t="s">
        <v>1156</v>
      </c>
      <c r="F16" s="16" t="s">
        <v>1157</v>
      </c>
      <c r="G16" s="18"/>
    </row>
    <row r="17" customFormat="false" ht="32.8" hidden="false" customHeight="false" outlineLevel="0" collapsed="false">
      <c r="A17" s="13" t="n">
        <v>13</v>
      </c>
      <c r="B17" s="14" t="s">
        <v>1158</v>
      </c>
      <c r="C17" s="16" t="s">
        <v>1159</v>
      </c>
      <c r="D17" s="23" t="s">
        <v>1160</v>
      </c>
      <c r="E17" s="16" t="s">
        <v>1161</v>
      </c>
      <c r="F17" s="16" t="s">
        <v>1162</v>
      </c>
      <c r="G17" s="18"/>
    </row>
    <row r="18" customFormat="false" ht="23.85" hidden="false" customHeight="false" outlineLevel="0" collapsed="false">
      <c r="A18" s="13" t="n">
        <v>14</v>
      </c>
      <c r="B18" s="14" t="s">
        <v>1163</v>
      </c>
      <c r="C18" s="16" t="s">
        <v>1164</v>
      </c>
      <c r="D18" s="23" t="s">
        <v>1165</v>
      </c>
      <c r="E18" s="16" t="s">
        <v>31</v>
      </c>
      <c r="F18" s="16" t="s">
        <v>1166</v>
      </c>
      <c r="G18" s="18"/>
    </row>
    <row r="19" customFormat="false" ht="23.85" hidden="false" customHeight="false" outlineLevel="0" collapsed="false">
      <c r="A19" s="13" t="n">
        <v>15</v>
      </c>
      <c r="B19" s="14" t="s">
        <v>1167</v>
      </c>
      <c r="C19" s="16" t="s">
        <v>1168</v>
      </c>
      <c r="D19" s="23" t="s">
        <v>1169</v>
      </c>
      <c r="E19" s="16" t="s">
        <v>31</v>
      </c>
      <c r="F19" s="16" t="s">
        <v>1170</v>
      </c>
      <c r="G19" s="18"/>
    </row>
    <row r="20" customFormat="false" ht="23.85" hidden="false" customHeight="false" outlineLevel="0" collapsed="false">
      <c r="A20" s="13" t="n">
        <v>16</v>
      </c>
      <c r="B20" s="14" t="s">
        <v>1171</v>
      </c>
      <c r="C20" s="16" t="s">
        <v>1172</v>
      </c>
      <c r="D20" s="23" t="s">
        <v>1173</v>
      </c>
      <c r="E20" s="16" t="s">
        <v>1174</v>
      </c>
      <c r="F20" s="16" t="s">
        <v>1175</v>
      </c>
      <c r="G20" s="18"/>
    </row>
    <row r="21" customFormat="false" ht="22.35" hidden="false" customHeight="false" outlineLevel="0" collapsed="false">
      <c r="A21" s="13" t="n">
        <v>17</v>
      </c>
      <c r="B21" s="14" t="s">
        <v>1176</v>
      </c>
      <c r="C21" s="16" t="s">
        <v>1177</v>
      </c>
      <c r="D21" s="23" t="s">
        <v>1178</v>
      </c>
      <c r="E21" s="16" t="s">
        <v>1179</v>
      </c>
      <c r="F21" s="16" t="s">
        <v>1180</v>
      </c>
      <c r="G21" s="18"/>
    </row>
    <row r="22" customFormat="false" ht="23.85" hidden="false" customHeight="false" outlineLevel="0" collapsed="false">
      <c r="A22" s="13" t="n">
        <v>18</v>
      </c>
      <c r="B22" s="14" t="s">
        <v>1181</v>
      </c>
      <c r="C22" s="16" t="s">
        <v>1182</v>
      </c>
      <c r="D22" s="23" t="s">
        <v>31</v>
      </c>
      <c r="E22" s="16" t="s">
        <v>1183</v>
      </c>
      <c r="F22" s="16" t="s">
        <v>1184</v>
      </c>
      <c r="G22" s="18"/>
    </row>
    <row r="23" customFormat="false" ht="23.85" hidden="false" customHeight="false" outlineLevel="0" collapsed="false">
      <c r="A23" s="13" t="n">
        <v>19</v>
      </c>
      <c r="B23" s="14" t="s">
        <v>1185</v>
      </c>
      <c r="C23" s="16" t="s">
        <v>1186</v>
      </c>
      <c r="D23" s="23" t="s">
        <v>1187</v>
      </c>
      <c r="E23" s="16" t="s">
        <v>31</v>
      </c>
      <c r="F23" s="16" t="s">
        <v>1188</v>
      </c>
      <c r="G23" s="18"/>
    </row>
    <row r="24" customFormat="false" ht="23.85" hidden="false" customHeight="false" outlineLevel="0" collapsed="false">
      <c r="A24" s="13" t="n">
        <v>20</v>
      </c>
      <c r="B24" s="14" t="s">
        <v>1189</v>
      </c>
      <c r="C24" s="16" t="s">
        <v>1190</v>
      </c>
      <c r="D24" s="23" t="s">
        <v>31</v>
      </c>
      <c r="E24" s="16" t="s">
        <v>1191</v>
      </c>
      <c r="F24" s="16" t="s">
        <v>1192</v>
      </c>
      <c r="G24" s="18"/>
    </row>
  </sheetData>
  <dataValidations count="1">
    <dataValidation allowBlank="true" errorStyle="stop" operator="between" showDropDown="false" showErrorMessage="false" showInputMessage="false" sqref="G5:G2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65"/>
    <col collapsed="false" customWidth="true" hidden="false" outlineLevel="0" max="4" min="4" style="0" width="45"/>
  </cols>
  <sheetData>
    <row r="1" customFormat="false" ht="18.55" hidden="false" customHeight="false" outlineLevel="0" collapsed="false">
      <c r="A1" s="1" t="s">
        <v>1193</v>
      </c>
    </row>
    <row r="2" customFormat="false" ht="15" hidden="false" customHeight="false" outlineLevel="0" collapsed="false">
      <c r="A2" s="2" t="s">
        <v>1194</v>
      </c>
    </row>
    <row r="4" customFormat="false" ht="36" hidden="false" customHeight="true" outlineLevel="0" collapsed="false">
      <c r="A4" s="12" t="s">
        <v>1195</v>
      </c>
      <c r="B4" s="12" t="s">
        <v>1196</v>
      </c>
      <c r="C4" s="12" t="s">
        <v>1197</v>
      </c>
      <c r="D4" s="12" t="s">
        <v>489</v>
      </c>
    </row>
    <row r="5" customFormat="false" ht="23.85" hidden="false" customHeight="false" outlineLevel="0" collapsed="false">
      <c r="A5" s="14" t="s">
        <v>1198</v>
      </c>
      <c r="B5" s="16" t="s">
        <v>1199</v>
      </c>
      <c r="C5" s="16" t="s">
        <v>1200</v>
      </c>
      <c r="D5" s="17" t="s">
        <v>1201</v>
      </c>
    </row>
    <row r="6" customFormat="false" ht="23.85" hidden="false" customHeight="false" outlineLevel="0" collapsed="false">
      <c r="A6" s="14" t="s">
        <v>1202</v>
      </c>
      <c r="B6" s="16" t="s">
        <v>1203</v>
      </c>
      <c r="C6" s="16" t="s">
        <v>1204</v>
      </c>
      <c r="D6" s="17" t="s">
        <v>1205</v>
      </c>
    </row>
    <row r="7" customFormat="false" ht="23.85" hidden="false" customHeight="false" outlineLevel="0" collapsed="false">
      <c r="A7" s="14" t="s">
        <v>1206</v>
      </c>
      <c r="B7" s="16" t="s">
        <v>1207</v>
      </c>
      <c r="C7" s="16" t="s">
        <v>1208</v>
      </c>
      <c r="D7" s="17" t="s">
        <v>1209</v>
      </c>
    </row>
    <row r="8" customFormat="false" ht="23.85" hidden="false" customHeight="false" outlineLevel="0" collapsed="false">
      <c r="A8" s="14" t="s">
        <v>1210</v>
      </c>
      <c r="B8" s="16" t="s">
        <v>1211</v>
      </c>
      <c r="C8" s="16" t="s">
        <v>1212</v>
      </c>
      <c r="D8" s="17" t="s">
        <v>1213</v>
      </c>
    </row>
    <row r="9" customFormat="false" ht="23.85" hidden="false" customHeight="false" outlineLevel="0" collapsed="false">
      <c r="A9" s="14" t="s">
        <v>1214</v>
      </c>
      <c r="B9" s="16" t="s">
        <v>1215</v>
      </c>
      <c r="C9" s="16" t="s">
        <v>1216</v>
      </c>
      <c r="D9" s="17" t="s">
        <v>1217</v>
      </c>
    </row>
    <row r="10" customFormat="false" ht="23.85" hidden="false" customHeight="false" outlineLevel="0" collapsed="false">
      <c r="A10" s="14" t="s">
        <v>1218</v>
      </c>
      <c r="B10" s="16" t="s">
        <v>1219</v>
      </c>
      <c r="C10" s="16" t="s">
        <v>1220</v>
      </c>
      <c r="D10" s="17" t="s">
        <v>1221</v>
      </c>
    </row>
    <row r="11" customFormat="false" ht="23.85" hidden="false" customHeight="false" outlineLevel="0" collapsed="false">
      <c r="A11" s="14" t="s">
        <v>1222</v>
      </c>
      <c r="B11" s="16" t="s">
        <v>1223</v>
      </c>
      <c r="C11" s="16" t="s">
        <v>1224</v>
      </c>
      <c r="D11" s="17" t="s">
        <v>1225</v>
      </c>
    </row>
    <row r="12" customFormat="false" ht="23.85" hidden="false" customHeight="false" outlineLevel="0" collapsed="false">
      <c r="A12" s="14" t="s">
        <v>1226</v>
      </c>
      <c r="B12" s="16" t="s">
        <v>1227</v>
      </c>
      <c r="C12" s="16" t="s">
        <v>1228</v>
      </c>
      <c r="D12" s="17" t="s">
        <v>1229</v>
      </c>
    </row>
    <row r="13" customFormat="false" ht="23.85" hidden="false" customHeight="false" outlineLevel="0" collapsed="false">
      <c r="A13" s="14" t="s">
        <v>1230</v>
      </c>
      <c r="B13" s="16" t="s">
        <v>1231</v>
      </c>
      <c r="C13" s="16" t="s">
        <v>1232</v>
      </c>
      <c r="D13" s="17" t="s">
        <v>1233</v>
      </c>
    </row>
    <row r="14" customFormat="false" ht="15" hidden="false" customHeight="false" outlineLevel="0" collapsed="false">
      <c r="A14" s="14" t="s">
        <v>1234</v>
      </c>
      <c r="B14" s="16" t="s">
        <v>1235</v>
      </c>
      <c r="C14" s="16" t="s">
        <v>1236</v>
      </c>
      <c r="D14" s="17" t="s">
        <v>1237</v>
      </c>
    </row>
  </sheetData>
  <hyperlinks>
    <hyperlink ref="D5" r:id="rId1" display="https://antigravity.google"/>
    <hyperlink ref="D6" r:id="rId2" display="https://education.github.com/pack"/>
    <hyperlink ref="D7" r:id="rId3" display="https://code.visualstudio.com/blogs/2025/04/07/agentMode"/>
    <hyperlink ref="D8" r:id="rId4" display="https://code.claude.com/docs/en/overview"/>
    <hyperlink ref="D9" r:id="rId5" display="https://cursor.com/pricing"/>
    <hyperlink ref="D10" r:id="rId6" display="https://zed.dev/education"/>
    <hyperlink ref="D11" r:id="rId7" display="https://developers.openai.com/codex/cli"/>
    <hyperlink ref="D12" r:id="rId8" display="https://github.com/google-gemini/gemini-cli"/>
    <hyperlink ref="D13" r:id="rId9" display="https://devin.ai/desktop"/>
    <hyperlink ref="D14" r:id="rId10" display="https://github.com/cline/clin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60"/>
  </cols>
  <sheetData>
    <row r="1" customFormat="false" ht="18.55" hidden="false" customHeight="false" outlineLevel="0" collapsed="false">
      <c r="A1" s="1" t="s">
        <v>1238</v>
      </c>
    </row>
    <row r="2" customFormat="false" ht="15" hidden="false" customHeight="false" outlineLevel="0" collapsed="false">
      <c r="A2" s="2" t="s">
        <v>1239</v>
      </c>
    </row>
    <row r="4" customFormat="false" ht="36" hidden="false" customHeight="true" outlineLevel="0" collapsed="false">
      <c r="A4" s="12" t="s">
        <v>1240</v>
      </c>
      <c r="B4" s="12" t="s">
        <v>1241</v>
      </c>
      <c r="C4" s="12" t="s">
        <v>1242</v>
      </c>
    </row>
    <row r="5" customFormat="false" ht="23.85" hidden="false" customHeight="false" outlineLevel="0" collapsed="false">
      <c r="A5" s="14" t="s">
        <v>74</v>
      </c>
      <c r="B5" s="16" t="s">
        <v>1243</v>
      </c>
      <c r="C5" s="17" t="s">
        <v>1244</v>
      </c>
    </row>
    <row r="6" customFormat="false" ht="15" hidden="false" customHeight="false" outlineLevel="0" collapsed="false">
      <c r="A6" s="14" t="s">
        <v>550</v>
      </c>
      <c r="B6" s="16" t="s">
        <v>1245</v>
      </c>
      <c r="C6" s="17" t="s">
        <v>1246</v>
      </c>
    </row>
    <row r="7" customFormat="false" ht="15" hidden="false" customHeight="false" outlineLevel="0" collapsed="false">
      <c r="A7" s="14" t="s">
        <v>671</v>
      </c>
      <c r="B7" s="16" t="s">
        <v>1247</v>
      </c>
      <c r="C7" s="17" t="s">
        <v>1248</v>
      </c>
    </row>
    <row r="8" customFormat="false" ht="23.85" hidden="false" customHeight="false" outlineLevel="0" collapsed="false">
      <c r="A8" s="14" t="s">
        <v>503</v>
      </c>
      <c r="B8" s="16" t="s">
        <v>1249</v>
      </c>
      <c r="C8" s="17" t="s">
        <v>1250</v>
      </c>
    </row>
    <row r="9" customFormat="false" ht="15" hidden="false" customHeight="false" outlineLevel="0" collapsed="false">
      <c r="A9" s="14" t="s">
        <v>1251</v>
      </c>
      <c r="B9" s="16" t="s">
        <v>1252</v>
      </c>
      <c r="C9" s="17" t="s">
        <v>1253</v>
      </c>
    </row>
    <row r="10" customFormat="false" ht="23.85" hidden="false" customHeight="false" outlineLevel="0" collapsed="false">
      <c r="A10" s="14" t="s">
        <v>377</v>
      </c>
      <c r="B10" s="16" t="s">
        <v>1254</v>
      </c>
      <c r="C10" s="17" t="s">
        <v>1255</v>
      </c>
    </row>
    <row r="11" customFormat="false" ht="15" hidden="false" customHeight="false" outlineLevel="0" collapsed="false">
      <c r="A11" s="14" t="s">
        <v>1256</v>
      </c>
      <c r="B11" s="16" t="s">
        <v>1257</v>
      </c>
      <c r="C11" s="17" t="s">
        <v>1258</v>
      </c>
    </row>
    <row r="12" customFormat="false" ht="15" hidden="false" customHeight="false" outlineLevel="0" collapsed="false">
      <c r="A12" s="14" t="s">
        <v>343</v>
      </c>
      <c r="B12" s="16" t="s">
        <v>1259</v>
      </c>
      <c r="C12" s="17" t="s">
        <v>1260</v>
      </c>
    </row>
    <row r="13" customFormat="false" ht="23.85" hidden="false" customHeight="false" outlineLevel="0" collapsed="false">
      <c r="A13" s="14" t="s">
        <v>1261</v>
      </c>
      <c r="B13" s="16" t="s">
        <v>1262</v>
      </c>
      <c r="C13" s="17" t="s">
        <v>1263</v>
      </c>
    </row>
    <row r="14" customFormat="false" ht="15" hidden="false" customHeight="false" outlineLevel="0" collapsed="false">
      <c r="A14" s="14" t="s">
        <v>1264</v>
      </c>
      <c r="B14" s="16" t="s">
        <v>1265</v>
      </c>
      <c r="C14" s="17" t="s">
        <v>1266</v>
      </c>
    </row>
    <row r="15" customFormat="false" ht="15" hidden="false" customHeight="false" outlineLevel="0" collapsed="false">
      <c r="A15" s="14" t="s">
        <v>86</v>
      </c>
      <c r="B15" s="16" t="s">
        <v>1267</v>
      </c>
      <c r="C15" s="17" t="s">
        <v>1268</v>
      </c>
    </row>
    <row r="16" customFormat="false" ht="15" hidden="false" customHeight="false" outlineLevel="0" collapsed="false">
      <c r="A16" s="14" t="s">
        <v>1269</v>
      </c>
      <c r="B16" s="16" t="s">
        <v>1270</v>
      </c>
      <c r="C16" s="17" t="s">
        <v>1271</v>
      </c>
    </row>
    <row r="17" customFormat="false" ht="15" hidden="false" customHeight="false" outlineLevel="0" collapsed="false">
      <c r="A17" s="14" t="s">
        <v>1272</v>
      </c>
      <c r="B17" s="16" t="s">
        <v>1273</v>
      </c>
      <c r="C17" s="17" t="s">
        <v>1274</v>
      </c>
    </row>
    <row r="18" customFormat="false" ht="15" hidden="false" customHeight="false" outlineLevel="0" collapsed="false">
      <c r="A18" s="14" t="s">
        <v>1275</v>
      </c>
      <c r="B18" s="16" t="s">
        <v>1276</v>
      </c>
      <c r="C18" s="17" t="s">
        <v>1277</v>
      </c>
    </row>
    <row r="19" customFormat="false" ht="15" hidden="false" customHeight="false" outlineLevel="0" collapsed="false">
      <c r="A19" s="14" t="s">
        <v>1278</v>
      </c>
      <c r="B19" s="16" t="s">
        <v>1279</v>
      </c>
      <c r="C19" s="17" t="s">
        <v>1280</v>
      </c>
    </row>
    <row r="20" customFormat="false" ht="15" hidden="false" customHeight="false" outlineLevel="0" collapsed="false">
      <c r="A20" s="14" t="s">
        <v>1281</v>
      </c>
      <c r="B20" s="16" t="s">
        <v>1282</v>
      </c>
      <c r="C20" s="17" t="s">
        <v>1283</v>
      </c>
    </row>
    <row r="21" customFormat="false" ht="15" hidden="false" customHeight="false" outlineLevel="0" collapsed="false">
      <c r="A21" s="14" t="s">
        <v>276</v>
      </c>
      <c r="B21" s="16" t="s">
        <v>1284</v>
      </c>
      <c r="C21" s="17" t="s">
        <v>1285</v>
      </c>
    </row>
    <row r="22" customFormat="false" ht="15" hidden="false" customHeight="false" outlineLevel="0" collapsed="false">
      <c r="A22" s="14" t="s">
        <v>406</v>
      </c>
      <c r="B22" s="16" t="s">
        <v>1286</v>
      </c>
      <c r="C22" s="17" t="s">
        <v>1287</v>
      </c>
    </row>
    <row r="23" customFormat="false" ht="15" hidden="false" customHeight="false" outlineLevel="0" collapsed="false">
      <c r="A23" s="14" t="s">
        <v>1288</v>
      </c>
      <c r="B23" s="16" t="s">
        <v>1289</v>
      </c>
      <c r="C23" s="17" t="s">
        <v>1290</v>
      </c>
    </row>
    <row r="24" customFormat="false" ht="15" hidden="false" customHeight="false" outlineLevel="0" collapsed="false">
      <c r="A24" s="14" t="s">
        <v>419</v>
      </c>
      <c r="B24" s="16" t="s">
        <v>1291</v>
      </c>
      <c r="C24" s="17" t="s">
        <v>1292</v>
      </c>
    </row>
    <row r="25" customFormat="false" ht="15" hidden="false" customHeight="false" outlineLevel="0" collapsed="false">
      <c r="A25" s="14" t="s">
        <v>1293</v>
      </c>
      <c r="B25" s="16" t="s">
        <v>1294</v>
      </c>
      <c r="C25" s="17" t="s">
        <v>1295</v>
      </c>
    </row>
    <row r="26" customFormat="false" ht="15" hidden="false" customHeight="false" outlineLevel="0" collapsed="false">
      <c r="A26" s="14" t="s">
        <v>410</v>
      </c>
      <c r="B26" s="16" t="s">
        <v>1296</v>
      </c>
      <c r="C26" s="17" t="s">
        <v>1297</v>
      </c>
    </row>
    <row r="27" customFormat="false" ht="15" hidden="false" customHeight="false" outlineLevel="0" collapsed="false">
      <c r="A27" s="14" t="s">
        <v>1298</v>
      </c>
      <c r="B27" s="16" t="s">
        <v>1299</v>
      </c>
      <c r="C27" s="17" t="s">
        <v>1300</v>
      </c>
    </row>
    <row r="28" customFormat="false" ht="15" hidden="false" customHeight="false" outlineLevel="0" collapsed="false">
      <c r="A28" s="14" t="s">
        <v>1301</v>
      </c>
      <c r="B28" s="16" t="s">
        <v>1302</v>
      </c>
      <c r="C28" s="17" t="s">
        <v>1303</v>
      </c>
    </row>
    <row r="29" customFormat="false" ht="15" hidden="false" customHeight="false" outlineLevel="0" collapsed="false">
      <c r="A29" s="14" t="s">
        <v>1304</v>
      </c>
      <c r="B29" s="16" t="s">
        <v>1305</v>
      </c>
      <c r="C29" s="17" t="s">
        <v>1306</v>
      </c>
    </row>
  </sheetData>
  <hyperlinks>
    <hyperlink ref="C5" r:id="rId1" display="https://developers.google.com/open-source/gsoc/resources/ai_guidance"/>
    <hyperlink ref="C6" r:id="rId2" display="https://www.outreachy.org/docs/applicant/"/>
    <hyperlink ref="C7" r:id="rId3" display="https://hacktoberfest.com/questions/"/>
    <hyperlink ref="C8" r:id="rId4" display="https://www.linuxfoundation.org/legal/generative-ai"/>
    <hyperlink ref="C9" r:id="rId5" display="https://www.cncf.io/blog/2026/03/10/sustaining-open-source-in-the-age-of-generative-ai/"/>
    <hyperlink ref="C10" r:id="rId6" display="https://www.kubernetes.dev/docs/guide/pull-requests/"/>
    <hyperlink ref="C11" r:id="rId7" display="https://github.com/torvalds/linux/blob/master/Documentation/process/coding-assistants.rst"/>
    <hyperlink ref="C12" r:id="rId8" display="https://www.apache.org/legal/generative-tooling.html"/>
    <hyperlink ref="C13" r:id="rId9" display="https://github.com/jaegertracing/jaeger/blob/main/AI_POLICY.md"/>
    <hyperlink ref="C14" r:id="rId10" display="https://www.jenkins.io/projects/gsoc/ai-usage-policy/"/>
    <hyperlink ref="C15" r:id="rId11" display="https://zulip.readthedocs.io/en/latest/contributing/contributing.html"/>
    <hyperlink ref="C16" r:id="rId12" display="https://github.com/oppia/oppia/wiki/Google-Summer-of-Code-2026"/>
    <hyperlink ref="C17" r:id="rId13" display="https://numpy.org/devdocs/dev/ai_policy.html"/>
    <hyperlink ref="C18" r:id="rId14" display="https://scikit-learn.org/stable/developers/contributing.html"/>
    <hyperlink ref="C19" r:id="rId15" display="https://docs.djangoproject.com/en/dev/internals/contributing/writing-code/submitting-patches/"/>
    <hyperlink ref="C20" r:id="rId16" display="https://devguide.python.org/getting-started/ai-tools/"/>
    <hyperlink ref="C21" r:id="rId17" display="https://github.com/open-telemetry/community/blob/main/policies/genai.md"/>
    <hyperlink ref="C22" r:id="rId18" display="https://llvm.org/docs/AIToolPolicy.html"/>
    <hyperlink ref="C23" r:id="rId19" display="https://firefox-source-docs.mozilla.org/contributing/ai-coding.html"/>
    <hyperlink ref="C24" r:id="rId20" display="https://www.qemu.org/docs/master/devel/code-provenance.html"/>
    <hyperlink ref="C25" r:id="rId21" display="https://wiki.gentoo.org/wiki/Project:Council/AI_policy"/>
    <hyperlink ref="C26" r:id="rId22" display="https://gcc.gnu.org/contribute.html"/>
    <hyperlink ref="C27" r:id="rId23" display="https://godotengine.org/article/contribution-policy-2026/"/>
    <hyperlink ref="C28" r:id="rId24" display="https://curl.se/dev/contribute.html"/>
    <hyperlink ref="C29" r:id="rId25" display="https://github.com/melissawm/open-source-ai-contribution-polic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70"/>
    <col collapsed="false" customWidth="true" hidden="false" outlineLevel="0" max="4" min="4" style="0" width="8"/>
  </cols>
  <sheetData>
    <row r="1" customFormat="false" ht="18.55" hidden="false" customHeight="false" outlineLevel="0" collapsed="false">
      <c r="A1" s="1" t="s">
        <v>1307</v>
      </c>
    </row>
    <row r="2" customFormat="false" ht="15" hidden="false" customHeight="false" outlineLevel="0" collapsed="false">
      <c r="A2" s="2" t="s">
        <v>1308</v>
      </c>
    </row>
    <row r="4" customFormat="false" ht="36" hidden="false" customHeight="true" outlineLevel="0" collapsed="false">
      <c r="A4" s="12" t="s">
        <v>804</v>
      </c>
      <c r="B4" s="12" t="s">
        <v>1309</v>
      </c>
      <c r="C4" s="12" t="s">
        <v>1310</v>
      </c>
      <c r="D4" s="12" t="s">
        <v>1104</v>
      </c>
    </row>
    <row r="5" customFormat="false" ht="23.85" hidden="false" customHeight="false" outlineLevel="0" collapsed="false">
      <c r="A5" s="14" t="s">
        <v>811</v>
      </c>
      <c r="B5" s="16" t="s">
        <v>1311</v>
      </c>
      <c r="C5" s="16" t="s">
        <v>1312</v>
      </c>
      <c r="D5" s="18"/>
    </row>
    <row r="6" customFormat="false" ht="15" hidden="false" customHeight="false" outlineLevel="0" collapsed="false">
      <c r="A6" s="14" t="s">
        <v>918</v>
      </c>
      <c r="B6" s="16" t="s">
        <v>1313</v>
      </c>
      <c r="C6" s="16" t="s">
        <v>1314</v>
      </c>
      <c r="D6" s="18"/>
    </row>
    <row r="7" customFormat="false" ht="23.85" hidden="false" customHeight="false" outlineLevel="0" collapsed="false">
      <c r="A7" s="14" t="s">
        <v>953</v>
      </c>
      <c r="B7" s="16" t="s">
        <v>1315</v>
      </c>
      <c r="C7" s="16" t="s">
        <v>1316</v>
      </c>
      <c r="D7" s="18"/>
    </row>
    <row r="8" customFormat="false" ht="23.85" hidden="false" customHeight="false" outlineLevel="0" collapsed="false">
      <c r="A8" s="14" t="s">
        <v>986</v>
      </c>
      <c r="B8" s="16" t="s">
        <v>1317</v>
      </c>
      <c r="C8" s="16" t="s">
        <v>1318</v>
      </c>
      <c r="D8" s="18"/>
    </row>
    <row r="9" customFormat="false" ht="23.85" hidden="false" customHeight="false" outlineLevel="0" collapsed="false">
      <c r="A9" s="14" t="s">
        <v>1002</v>
      </c>
      <c r="B9" s="16" t="s">
        <v>1319</v>
      </c>
      <c r="C9" s="16" t="s">
        <v>1320</v>
      </c>
      <c r="D9" s="18"/>
    </row>
    <row r="10" customFormat="false" ht="23.85" hidden="false" customHeight="false" outlineLevel="0" collapsed="false">
      <c r="A10" s="14" t="s">
        <v>1022</v>
      </c>
      <c r="B10" s="16" t="s">
        <v>1321</v>
      </c>
      <c r="C10" s="16" t="s">
        <v>1322</v>
      </c>
      <c r="D10" s="18"/>
    </row>
    <row r="11" customFormat="false" ht="23.85" hidden="false" customHeight="false" outlineLevel="0" collapsed="false">
      <c r="A11" s="14" t="s">
        <v>1050</v>
      </c>
      <c r="B11" s="16" t="s">
        <v>1323</v>
      </c>
      <c r="C11" s="16" t="s">
        <v>1324</v>
      </c>
      <c r="D11" s="18"/>
    </row>
    <row r="12" customFormat="false" ht="15" hidden="false" customHeight="false" outlineLevel="0" collapsed="false">
      <c r="A12" s="14" t="s">
        <v>1058</v>
      </c>
      <c r="B12" s="16" t="s">
        <v>1325</v>
      </c>
      <c r="C12" s="16" t="s">
        <v>1326</v>
      </c>
      <c r="D12" s="18"/>
    </row>
    <row r="13" customFormat="false" ht="15" hidden="false" customHeight="false" outlineLevel="0" collapsed="false">
      <c r="A13" s="14" t="s">
        <v>1327</v>
      </c>
      <c r="B13" s="16" t="s">
        <v>1328</v>
      </c>
      <c r="C13" s="16" t="s">
        <v>1329</v>
      </c>
      <c r="D13" s="18"/>
    </row>
    <row r="14" customFormat="false" ht="15" hidden="false" customHeight="false" outlineLevel="0" collapsed="false">
      <c r="A14" s="14" t="s">
        <v>1075</v>
      </c>
      <c r="B14" s="16" t="s">
        <v>1330</v>
      </c>
      <c r="C14" s="16" t="s">
        <v>1331</v>
      </c>
      <c r="D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0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10" min="9" style="0" width="16"/>
    <col collapsed="false" customWidth="true" hidden="false" outlineLevel="0" max="11" min="11" style="0" width="20"/>
    <col collapsed="false" customWidth="true" hidden="false" outlineLevel="0" max="12" min="12" style="0" width="26"/>
  </cols>
  <sheetData>
    <row r="1" customFormat="false" ht="18.55" hidden="false" customHeight="false" outlineLevel="0" collapsed="false">
      <c r="A1" s="1" t="s">
        <v>1332</v>
      </c>
    </row>
    <row r="2" customFormat="false" ht="15" hidden="false" customHeight="false" outlineLevel="0" collapsed="false">
      <c r="A2" s="2" t="s">
        <v>1333</v>
      </c>
    </row>
    <row r="4" customFormat="false" ht="36" hidden="false" customHeight="true" outlineLevel="0" collapsed="false">
      <c r="A4" s="12" t="s">
        <v>54</v>
      </c>
      <c r="B4" s="12" t="s">
        <v>1334</v>
      </c>
      <c r="C4" s="12" t="s">
        <v>480</v>
      </c>
      <c r="D4" s="12" t="s">
        <v>1335</v>
      </c>
      <c r="E4" s="12" t="s">
        <v>63</v>
      </c>
      <c r="F4" s="12" t="s">
        <v>1336</v>
      </c>
      <c r="G4" s="12" t="s">
        <v>1337</v>
      </c>
      <c r="H4" s="12" t="s">
        <v>1338</v>
      </c>
      <c r="I4" s="12" t="s">
        <v>60</v>
      </c>
      <c r="J4" s="12" t="s">
        <v>490</v>
      </c>
      <c r="K4" s="12" t="s">
        <v>1339</v>
      </c>
      <c r="L4" s="12" t="s">
        <v>1340</v>
      </c>
    </row>
    <row r="5" customFormat="false" ht="23.85" hidden="false" customHeight="false" outlineLevel="0" collapsed="false">
      <c r="A5" s="13" t="s">
        <v>1341</v>
      </c>
      <c r="B5" s="24" t="s">
        <v>102</v>
      </c>
      <c r="C5" s="16" t="s">
        <v>100</v>
      </c>
      <c r="D5" s="16" t="s">
        <v>101</v>
      </c>
      <c r="E5" s="13" t="n">
        <v>73</v>
      </c>
      <c r="F5" s="13" t="n">
        <v>18</v>
      </c>
      <c r="G5" s="13" t="s">
        <v>96</v>
      </c>
      <c r="H5" s="16" t="s">
        <v>103</v>
      </c>
      <c r="I5" s="17" t="s">
        <v>77</v>
      </c>
      <c r="J5" s="18" t="s">
        <v>85</v>
      </c>
      <c r="K5" s="18"/>
      <c r="L5" s="18"/>
    </row>
    <row r="6" customFormat="false" ht="23.85" hidden="false" customHeight="false" outlineLevel="0" collapsed="false">
      <c r="A6" s="13" t="s">
        <v>1342</v>
      </c>
      <c r="B6" s="24" t="s">
        <v>95</v>
      </c>
      <c r="C6" s="16" t="s">
        <v>93</v>
      </c>
      <c r="D6" s="16" t="s">
        <v>94</v>
      </c>
      <c r="E6" s="13" t="n">
        <v>317</v>
      </c>
      <c r="F6" s="13" t="n">
        <v>82</v>
      </c>
      <c r="G6" s="13" t="s">
        <v>96</v>
      </c>
      <c r="H6" s="16" t="s">
        <v>97</v>
      </c>
      <c r="I6" s="17" t="s">
        <v>77</v>
      </c>
      <c r="J6" s="18" t="s">
        <v>85</v>
      </c>
      <c r="K6" s="18"/>
      <c r="L6" s="18"/>
    </row>
    <row r="7" customFormat="false" ht="23.85" hidden="false" customHeight="false" outlineLevel="0" collapsed="false">
      <c r="A7" s="13" t="s">
        <v>1343</v>
      </c>
      <c r="B7" s="24" t="s">
        <v>228</v>
      </c>
      <c r="C7" s="16" t="s">
        <v>226</v>
      </c>
      <c r="D7" s="16" t="s">
        <v>227</v>
      </c>
      <c r="E7" s="13" t="n">
        <v>92</v>
      </c>
      <c r="F7" s="13" t="n">
        <v>12</v>
      </c>
      <c r="G7" s="13" t="s">
        <v>81</v>
      </c>
      <c r="H7" s="16" t="s">
        <v>229</v>
      </c>
      <c r="I7" s="17" t="s">
        <v>77</v>
      </c>
      <c r="J7" s="18" t="s">
        <v>85</v>
      </c>
      <c r="K7" s="18"/>
      <c r="L7" s="18"/>
    </row>
    <row r="8" customFormat="false" ht="23.85" hidden="false" customHeight="false" outlineLevel="0" collapsed="false">
      <c r="A8" s="13" t="s">
        <v>1344</v>
      </c>
      <c r="B8" s="24" t="s">
        <v>233</v>
      </c>
      <c r="C8" s="16" t="s">
        <v>231</v>
      </c>
      <c r="D8" s="16" t="s">
        <v>232</v>
      </c>
      <c r="E8" s="13" t="n">
        <v>95</v>
      </c>
      <c r="F8" s="13" t="n">
        <v>15</v>
      </c>
      <c r="G8" s="13" t="s">
        <v>96</v>
      </c>
      <c r="H8" s="16" t="s">
        <v>234</v>
      </c>
      <c r="I8" s="17" t="s">
        <v>77</v>
      </c>
      <c r="J8" s="18" t="s">
        <v>85</v>
      </c>
      <c r="K8" s="18"/>
      <c r="L8" s="18"/>
    </row>
    <row r="9" customFormat="false" ht="23.85" hidden="false" customHeight="false" outlineLevel="0" collapsed="false">
      <c r="A9" s="13" t="s">
        <v>1345</v>
      </c>
      <c r="B9" s="24" t="s">
        <v>237</v>
      </c>
      <c r="C9" s="16" t="s">
        <v>100</v>
      </c>
      <c r="D9" s="16" t="s">
        <v>236</v>
      </c>
      <c r="E9" s="13" t="n">
        <v>91</v>
      </c>
      <c r="F9" s="13" t="n">
        <v>19</v>
      </c>
      <c r="G9" s="13" t="s">
        <v>96</v>
      </c>
      <c r="H9" s="16" t="s">
        <v>239</v>
      </c>
      <c r="I9" s="17" t="s">
        <v>77</v>
      </c>
      <c r="J9" s="18" t="s">
        <v>85</v>
      </c>
      <c r="K9" s="18"/>
      <c r="L9" s="18"/>
    </row>
    <row r="10" customFormat="false" ht="35.05" hidden="false" customHeight="false" outlineLevel="0" collapsed="false">
      <c r="A10" s="13" t="s">
        <v>1346</v>
      </c>
      <c r="B10" s="24" t="s">
        <v>76</v>
      </c>
      <c r="C10" s="16" t="s">
        <v>74</v>
      </c>
      <c r="D10" s="16" t="s">
        <v>75</v>
      </c>
      <c r="E10" s="13" t="n">
        <v>61</v>
      </c>
      <c r="F10" s="13" t="n">
        <v>23</v>
      </c>
      <c r="G10" s="13" t="s">
        <v>81</v>
      </c>
      <c r="H10" s="16" t="s">
        <v>83</v>
      </c>
      <c r="I10" s="17" t="s">
        <v>77</v>
      </c>
      <c r="J10" s="18" t="s">
        <v>85</v>
      </c>
      <c r="K10" s="18"/>
      <c r="L10" s="18"/>
    </row>
    <row r="11" customFormat="false" ht="23.85" hidden="false" customHeight="false" outlineLevel="0" collapsed="false">
      <c r="A11" s="13" t="s">
        <v>1347</v>
      </c>
      <c r="B11" s="24" t="s">
        <v>105</v>
      </c>
      <c r="C11" s="16" t="s">
        <v>74</v>
      </c>
      <c r="D11" s="16" t="s">
        <v>101</v>
      </c>
      <c r="E11" s="13" t="n">
        <v>38</v>
      </c>
      <c r="F11" s="13" t="n">
        <v>12</v>
      </c>
      <c r="G11" s="13" t="s">
        <v>81</v>
      </c>
      <c r="H11" s="16" t="s">
        <v>108</v>
      </c>
      <c r="I11" s="17" t="s">
        <v>77</v>
      </c>
      <c r="J11" s="18" t="s">
        <v>85</v>
      </c>
      <c r="K11" s="18"/>
      <c r="L11" s="18"/>
    </row>
    <row r="12" customFormat="false" ht="15" hidden="false" customHeight="false" outlineLevel="0" collapsed="false">
      <c r="A12" s="13" t="s">
        <v>1348</v>
      </c>
      <c r="B12" s="24" t="s">
        <v>251</v>
      </c>
      <c r="C12" s="16" t="s">
        <v>249</v>
      </c>
      <c r="D12" s="16" t="s">
        <v>250</v>
      </c>
      <c r="E12" s="13" t="n">
        <v>155</v>
      </c>
      <c r="F12" s="13" t="n">
        <v>28</v>
      </c>
      <c r="G12" s="13" t="s">
        <v>96</v>
      </c>
      <c r="H12" s="16" t="s">
        <v>252</v>
      </c>
      <c r="I12" s="17" t="s">
        <v>77</v>
      </c>
      <c r="J12" s="18" t="s">
        <v>85</v>
      </c>
      <c r="K12" s="18"/>
      <c r="L12" s="18"/>
    </row>
    <row r="13" customFormat="false" ht="23.85" hidden="false" customHeight="false" outlineLevel="0" collapsed="false">
      <c r="A13" s="13" t="s">
        <v>1349</v>
      </c>
      <c r="B13" s="24" t="s">
        <v>242</v>
      </c>
      <c r="C13" s="16" t="s">
        <v>231</v>
      </c>
      <c r="D13" s="16" t="s">
        <v>241</v>
      </c>
      <c r="E13" s="13" t="n">
        <v>177</v>
      </c>
      <c r="F13" s="13" t="n">
        <v>37</v>
      </c>
      <c r="G13" s="13" t="s">
        <v>96</v>
      </c>
      <c r="H13" s="16" t="s">
        <v>243</v>
      </c>
      <c r="I13" s="17" t="s">
        <v>77</v>
      </c>
      <c r="J13" s="18" t="s">
        <v>85</v>
      </c>
      <c r="K13" s="18"/>
      <c r="L13" s="18"/>
    </row>
    <row r="14" customFormat="false" ht="23.85" hidden="false" customHeight="false" outlineLevel="0" collapsed="false">
      <c r="A14" s="13" t="s">
        <v>1350</v>
      </c>
      <c r="B14" s="24" t="s">
        <v>246</v>
      </c>
      <c r="C14" s="16" t="s">
        <v>245</v>
      </c>
      <c r="D14" s="16" t="s">
        <v>241</v>
      </c>
      <c r="E14" s="13" t="n">
        <v>87</v>
      </c>
      <c r="F14" s="13" t="n">
        <v>42</v>
      </c>
      <c r="G14" s="13" t="s">
        <v>96</v>
      </c>
      <c r="H14" s="16" t="s">
        <v>247</v>
      </c>
      <c r="I14" s="17" t="s">
        <v>77</v>
      </c>
      <c r="J14" s="18" t="s">
        <v>85</v>
      </c>
      <c r="K14" s="18"/>
      <c r="L14" s="18"/>
    </row>
    <row r="15" customFormat="false" ht="23.85" hidden="false" customHeight="false" outlineLevel="0" collapsed="false">
      <c r="A15" s="13" t="s">
        <v>1351</v>
      </c>
      <c r="B15" s="24" t="s">
        <v>304</v>
      </c>
      <c r="C15" s="16" t="s">
        <v>74</v>
      </c>
      <c r="D15" s="16" t="s">
        <v>303</v>
      </c>
      <c r="E15" s="13" t="n">
        <v>98</v>
      </c>
      <c r="F15" s="13" t="n">
        <v>14</v>
      </c>
      <c r="G15" s="13" t="s">
        <v>96</v>
      </c>
      <c r="H15" s="16" t="s">
        <v>1352</v>
      </c>
      <c r="I15" s="17" t="s">
        <v>77</v>
      </c>
      <c r="J15" s="18" t="s">
        <v>85</v>
      </c>
      <c r="K15" s="18"/>
      <c r="L15" s="18"/>
    </row>
    <row r="16" customFormat="false" ht="23.85" hidden="false" customHeight="false" outlineLevel="0" collapsed="false">
      <c r="A16" s="13" t="s">
        <v>1353</v>
      </c>
      <c r="B16" s="24" t="s">
        <v>296</v>
      </c>
      <c r="C16" s="16" t="s">
        <v>226</v>
      </c>
      <c r="D16" s="16" t="s">
        <v>295</v>
      </c>
      <c r="E16" s="13" t="n">
        <v>160</v>
      </c>
      <c r="F16" s="13" t="n">
        <v>38</v>
      </c>
      <c r="G16" s="13" t="s">
        <v>96</v>
      </c>
      <c r="H16" s="16" t="s">
        <v>1354</v>
      </c>
      <c r="I16" s="17" t="s">
        <v>77</v>
      </c>
      <c r="J16" s="18" t="s">
        <v>85</v>
      </c>
      <c r="K16" s="18"/>
      <c r="L16" s="18"/>
    </row>
    <row r="17" customFormat="false" ht="23.85" hidden="false" customHeight="false" outlineLevel="0" collapsed="false">
      <c r="A17" s="13" t="s">
        <v>1355</v>
      </c>
      <c r="B17" s="24" t="s">
        <v>160</v>
      </c>
      <c r="C17" s="16" t="s">
        <v>74</v>
      </c>
      <c r="D17" s="16" t="s">
        <v>159</v>
      </c>
      <c r="E17" s="13" t="n">
        <v>180</v>
      </c>
      <c r="F17" s="13" t="n">
        <v>26</v>
      </c>
      <c r="G17" s="13" t="s">
        <v>81</v>
      </c>
      <c r="H17" s="16" t="s">
        <v>1356</v>
      </c>
      <c r="I17" s="17" t="s">
        <v>77</v>
      </c>
      <c r="J17" s="18" t="s">
        <v>85</v>
      </c>
      <c r="K17" s="18"/>
      <c r="L17" s="18"/>
    </row>
    <row r="19" customFormat="false" ht="15" hidden="false" customHeight="false" outlineLevel="0" collapsed="false">
      <c r="A19" s="25" t="s">
        <v>1357</v>
      </c>
      <c r="C19" s="25" t="n">
        <f aca="false">COUNTIF(J5:J17,"Merged")</f>
        <v>0</v>
      </c>
    </row>
    <row r="20" customFormat="false" ht="15" hidden="false" customHeight="false" outlineLevel="0" collapsed="false">
      <c r="A20" s="25" t="s">
        <v>1358</v>
      </c>
      <c r="C20" s="26" t="n">
        <v>10</v>
      </c>
    </row>
    <row r="21" customFormat="false" ht="15" hidden="false" customHeight="false" outlineLevel="0" collapsed="false">
      <c r="A21" s="25" t="s">
        <v>1359</v>
      </c>
      <c r="C21" s="27" t="n">
        <f aca="false">IFERROR(C19/C20,0)</f>
        <v>0</v>
      </c>
    </row>
  </sheetData>
  <dataValidations count="1">
    <dataValidation allowBlank="true" errorStyle="stop" operator="between" showDropDown="false" showErrorMessage="false" showInputMessage="false" sqref="J5:J17" type="list">
      <formula1>"Not started,Exploring,Issue claimed,PR open,Changes requested,Merged,Dropped"</formula1>
      <formula2>0</formula2>
    </dataValidation>
  </dataValidations>
  <hyperlinks>
    <hyperlink ref="B5" r:id="rId1" display="jaegertracing/jaeger-ui"/>
    <hyperlink ref="I5" r:id="rId2" display="Open list"/>
    <hyperlink ref="B6" r:id="rId3" display="meshery/meshery"/>
    <hyperlink ref="I6" r:id="rId4" display="Open list"/>
    <hyperlink ref="B7" r:id="rId5" display="kubernetes-sigs/headlamp"/>
    <hyperlink ref="I7" r:id="rId6" display="Open list"/>
    <hyperlink ref="B8" r:id="rId7" display="openeverest/openeverest"/>
    <hyperlink ref="I8" r:id="rId8" display="Open list"/>
    <hyperlink ref="B9" r:id="rId9" display="pipe-cd/pipecd"/>
    <hyperlink ref="I9" r:id="rId10" display="Open list"/>
    <hyperlink ref="B10" r:id="rId11" display="oppia/oppia"/>
    <hyperlink ref="I10" r:id="rId12" display="Open list"/>
    <hyperlink ref="B11" r:id="rId13" display="ohcnetwork/care_fe"/>
    <hyperlink ref="I11" r:id="rId14" display="Open list"/>
    <hyperlink ref="B12" r:id="rId15" display="kubeflow/pipelines"/>
    <hyperlink ref="I12" r:id="rId16" display="Open list"/>
    <hyperlink ref="B13" r:id="rId17" display="kubescape/kubescape"/>
    <hyperlink ref="I13" r:id="rId18" display="Open list"/>
    <hyperlink ref="B14" r:id="rId19" display="kyverno/kyverno"/>
    <hyperlink ref="I14" r:id="rId20" display="Open list"/>
    <hyperlink ref="B15" r:id="rId21" display="jenkinsci/jenkins"/>
    <hyperlink ref="I15" r:id="rId22" display="Open list"/>
    <hyperlink ref="B16" r:id="rId23" display="Apicurio/apicurio-registry"/>
    <hyperlink ref="I16" r:id="rId24" display="Open list"/>
    <hyperlink ref="B17" r:id="rId25" display="RocketChat/Rocket.Chat"/>
    <hyperlink ref="I17" r:id="rId26" display="Open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18.55" hidden="false" customHeight="false" outlineLevel="0" collapsed="false">
      <c r="A1" s="1" t="s">
        <v>1360</v>
      </c>
    </row>
    <row r="2" customFormat="false" ht="15" hidden="false" customHeight="false" outlineLevel="0" collapsed="false">
      <c r="A2" s="2" t="s">
        <v>1361</v>
      </c>
    </row>
    <row r="4" customFormat="false" ht="36" hidden="false" customHeight="true" outlineLevel="0" collapsed="false">
      <c r="A4" s="12" t="s">
        <v>1362</v>
      </c>
      <c r="B4" s="12" t="s">
        <v>1363</v>
      </c>
    </row>
    <row r="5" customFormat="false" ht="15" hidden="false" customHeight="false" outlineLevel="0" collapsed="false">
      <c r="A5" s="14" t="s">
        <v>1364</v>
      </c>
      <c r="B5" s="28" t="s">
        <v>1365</v>
      </c>
    </row>
    <row r="6" customFormat="false" ht="15" hidden="false" customHeight="false" outlineLevel="0" collapsed="false">
      <c r="A6" s="14" t="s">
        <v>1366</v>
      </c>
      <c r="B6" s="28" t="s">
        <v>1367</v>
      </c>
    </row>
    <row r="7" customFormat="false" ht="15" hidden="false" customHeight="false" outlineLevel="0" collapsed="false">
      <c r="A7" s="14" t="s">
        <v>1368</v>
      </c>
      <c r="B7" s="28" t="s">
        <v>1369</v>
      </c>
    </row>
    <row r="8" customFormat="false" ht="15" hidden="false" customHeight="false" outlineLevel="0" collapsed="false">
      <c r="A8" s="14" t="s">
        <v>1370</v>
      </c>
      <c r="B8" s="28" t="s">
        <v>1371</v>
      </c>
    </row>
    <row r="9" customFormat="false" ht="15" hidden="false" customHeight="false" outlineLevel="0" collapsed="false">
      <c r="A9" s="14" t="s">
        <v>1372</v>
      </c>
      <c r="B9" s="28" t="s">
        <v>1373</v>
      </c>
    </row>
    <row r="10" customFormat="false" ht="15" hidden="false" customHeight="false" outlineLevel="0" collapsed="false">
      <c r="A10" s="14" t="s">
        <v>1374</v>
      </c>
      <c r="B10" s="28" t="s">
        <v>1375</v>
      </c>
    </row>
    <row r="11" customFormat="false" ht="15" hidden="false" customHeight="false" outlineLevel="0" collapsed="false">
      <c r="A11" s="14" t="s">
        <v>1376</v>
      </c>
      <c r="B11" s="28" t="s">
        <v>1377</v>
      </c>
    </row>
    <row r="12" customFormat="false" ht="15" hidden="false" customHeight="false" outlineLevel="0" collapsed="false">
      <c r="A12" s="14" t="s">
        <v>1378</v>
      </c>
      <c r="B12" s="28" t="s">
        <v>1379</v>
      </c>
    </row>
    <row r="13" customFormat="false" ht="15" hidden="false" customHeight="false" outlineLevel="0" collapsed="false">
      <c r="A13" s="14" t="s">
        <v>1380</v>
      </c>
      <c r="B13" s="28" t="s">
        <v>1381</v>
      </c>
    </row>
    <row r="14" customFormat="false" ht="15" hidden="false" customHeight="false" outlineLevel="0" collapsed="false">
      <c r="A14" s="14" t="s">
        <v>1382</v>
      </c>
      <c r="B14" s="28" t="s">
        <v>1383</v>
      </c>
    </row>
    <row r="15" customFormat="false" ht="15" hidden="false" customHeight="false" outlineLevel="0" collapsed="false">
      <c r="A15" s="14" t="s">
        <v>1384</v>
      </c>
      <c r="B15" s="28" t="s">
        <v>1385</v>
      </c>
    </row>
    <row r="16" customFormat="false" ht="15" hidden="false" customHeight="false" outlineLevel="0" collapsed="false">
      <c r="A16" s="14" t="s">
        <v>1386</v>
      </c>
      <c r="B16" s="28" t="s">
        <v>1387</v>
      </c>
    </row>
    <row r="17" customFormat="false" ht="15" hidden="false" customHeight="false" outlineLevel="0" collapsed="false">
      <c r="A17" s="14" t="s">
        <v>1388</v>
      </c>
      <c r="B17" s="28" t="s">
        <v>1389</v>
      </c>
    </row>
    <row r="18" customFormat="false" ht="15" hidden="false" customHeight="false" outlineLevel="0" collapsed="false">
      <c r="A18" s="14" t="s">
        <v>1390</v>
      </c>
      <c r="B18" s="28" t="s">
        <v>1391</v>
      </c>
    </row>
    <row r="19" customFormat="false" ht="15" hidden="false" customHeight="false" outlineLevel="0" collapsed="false">
      <c r="A19" s="14" t="s">
        <v>1392</v>
      </c>
      <c r="B19" s="28" t="s">
        <v>1393</v>
      </c>
    </row>
    <row r="20" customFormat="false" ht="15" hidden="false" customHeight="false" outlineLevel="0" collapsed="false">
      <c r="A20" s="14" t="s">
        <v>1394</v>
      </c>
      <c r="B20" s="28" t="s">
        <v>1395</v>
      </c>
    </row>
    <row r="21" customFormat="false" ht="15" hidden="false" customHeight="false" outlineLevel="0" collapsed="false">
      <c r="A21" s="14" t="s">
        <v>1396</v>
      </c>
      <c r="B21" s="28" t="s">
        <v>1397</v>
      </c>
    </row>
    <row r="22" customFormat="false" ht="15" hidden="false" customHeight="false" outlineLevel="0" collapsed="false">
      <c r="A22" s="14" t="s">
        <v>1398</v>
      </c>
      <c r="B22" s="28" t="s">
        <v>1399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18.5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1400</v>
      </c>
    </row>
    <row r="4" customFormat="false" ht="36" hidden="false" customHeight="true" outlineLevel="0" collapsed="false">
      <c r="A4" s="12" t="s">
        <v>1401</v>
      </c>
      <c r="B4" s="12" t="s">
        <v>1402</v>
      </c>
      <c r="C4" s="12" t="s">
        <v>809</v>
      </c>
      <c r="D4" s="12" t="s">
        <v>1403</v>
      </c>
    </row>
    <row r="5" customFormat="false" ht="23.85" hidden="false" customHeight="false" outlineLevel="0" collapsed="false">
      <c r="A5" s="29" t="s">
        <v>1404</v>
      </c>
      <c r="B5" s="16" t="s">
        <v>1405</v>
      </c>
      <c r="C5" s="17" t="s">
        <v>1406</v>
      </c>
      <c r="D5" s="16" t="s">
        <v>1407</v>
      </c>
    </row>
    <row r="6" customFormat="false" ht="23.85" hidden="false" customHeight="false" outlineLevel="0" collapsed="false">
      <c r="A6" s="29" t="s">
        <v>1404</v>
      </c>
      <c r="B6" s="16" t="s">
        <v>1408</v>
      </c>
      <c r="C6" s="17" t="s">
        <v>1409</v>
      </c>
      <c r="D6" s="16" t="s">
        <v>1410</v>
      </c>
    </row>
    <row r="7" customFormat="false" ht="15" hidden="false" customHeight="false" outlineLevel="0" collapsed="false">
      <c r="A7" s="29" t="s">
        <v>1404</v>
      </c>
      <c r="B7" s="16" t="s">
        <v>1411</v>
      </c>
      <c r="C7" s="17" t="s">
        <v>1412</v>
      </c>
      <c r="D7" s="16" t="s">
        <v>1413</v>
      </c>
    </row>
    <row r="8" customFormat="false" ht="15" hidden="false" customHeight="false" outlineLevel="0" collapsed="false">
      <c r="A8" s="29" t="s">
        <v>1404</v>
      </c>
      <c r="B8" s="16" t="s">
        <v>1414</v>
      </c>
      <c r="C8" s="17" t="s">
        <v>1415</v>
      </c>
      <c r="D8" s="16" t="s">
        <v>1416</v>
      </c>
    </row>
    <row r="9" customFormat="false" ht="15" hidden="false" customHeight="false" outlineLevel="0" collapsed="false">
      <c r="A9" s="29" t="s">
        <v>1404</v>
      </c>
      <c r="B9" s="16" t="s">
        <v>1417</v>
      </c>
      <c r="C9" s="17" t="s">
        <v>1418</v>
      </c>
      <c r="D9" s="16" t="s">
        <v>1419</v>
      </c>
    </row>
    <row r="10" customFormat="false" ht="15" hidden="false" customHeight="false" outlineLevel="0" collapsed="false">
      <c r="A10" s="16" t="s">
        <v>1420</v>
      </c>
      <c r="B10" s="16" t="s">
        <v>1421</v>
      </c>
      <c r="C10" s="17" t="s">
        <v>1422</v>
      </c>
      <c r="D10" s="16" t="s">
        <v>1423</v>
      </c>
    </row>
    <row r="11" customFormat="false" ht="15" hidden="false" customHeight="false" outlineLevel="0" collapsed="false">
      <c r="A11" s="16" t="s">
        <v>1420</v>
      </c>
      <c r="B11" s="16" t="s">
        <v>1424</v>
      </c>
      <c r="C11" s="17" t="s">
        <v>1244</v>
      </c>
      <c r="D11" s="16" t="s">
        <v>1425</v>
      </c>
    </row>
    <row r="12" customFormat="false" ht="15" hidden="false" customHeight="false" outlineLevel="0" collapsed="false">
      <c r="A12" s="16" t="s">
        <v>1420</v>
      </c>
      <c r="B12" s="16" t="s">
        <v>1426</v>
      </c>
      <c r="C12" s="17" t="s">
        <v>1427</v>
      </c>
      <c r="D12" s="16" t="s">
        <v>1428</v>
      </c>
    </row>
    <row r="13" customFormat="false" ht="15" hidden="false" customHeight="false" outlineLevel="0" collapsed="false">
      <c r="A13" s="16" t="s">
        <v>1420</v>
      </c>
      <c r="B13" s="16" t="s">
        <v>1429</v>
      </c>
      <c r="C13" s="17" t="s">
        <v>1430</v>
      </c>
      <c r="D13" s="16" t="s">
        <v>1431</v>
      </c>
    </row>
    <row r="14" customFormat="false" ht="15" hidden="false" customHeight="false" outlineLevel="0" collapsed="false">
      <c r="A14" s="16" t="s">
        <v>1420</v>
      </c>
      <c r="B14" s="16" t="s">
        <v>1432</v>
      </c>
      <c r="C14" s="17" t="s">
        <v>1026</v>
      </c>
      <c r="D14" s="16" t="s">
        <v>1433</v>
      </c>
    </row>
    <row r="15" customFormat="false" ht="15" hidden="false" customHeight="false" outlineLevel="0" collapsed="false">
      <c r="A15" s="16" t="s">
        <v>1434</v>
      </c>
      <c r="B15" s="16" t="s">
        <v>1435</v>
      </c>
      <c r="C15" s="17" t="s">
        <v>1436</v>
      </c>
      <c r="D15" s="16" t="s">
        <v>1437</v>
      </c>
    </row>
    <row r="16" customFormat="false" ht="15" hidden="false" customHeight="false" outlineLevel="0" collapsed="false">
      <c r="A16" s="16" t="s">
        <v>1434</v>
      </c>
      <c r="B16" s="16" t="s">
        <v>1438</v>
      </c>
      <c r="C16" s="17" t="s">
        <v>1439</v>
      </c>
      <c r="D16" s="16" t="s">
        <v>1440</v>
      </c>
    </row>
    <row r="17" customFormat="false" ht="15" hidden="false" customHeight="false" outlineLevel="0" collapsed="false">
      <c r="A17" s="16" t="s">
        <v>1434</v>
      </c>
      <c r="B17" s="16" t="s">
        <v>1441</v>
      </c>
      <c r="C17" s="17" t="s">
        <v>1442</v>
      </c>
      <c r="D17" s="16" t="s">
        <v>1443</v>
      </c>
    </row>
    <row r="18" customFormat="false" ht="15" hidden="false" customHeight="false" outlineLevel="0" collapsed="false">
      <c r="A18" s="16" t="s">
        <v>1434</v>
      </c>
      <c r="B18" s="16" t="s">
        <v>1444</v>
      </c>
      <c r="C18" s="17" t="s">
        <v>1445</v>
      </c>
      <c r="D18" s="16" t="s">
        <v>1446</v>
      </c>
    </row>
    <row r="19" customFormat="false" ht="15" hidden="false" customHeight="false" outlineLevel="0" collapsed="false">
      <c r="A19" s="16" t="s">
        <v>1434</v>
      </c>
      <c r="B19" s="16" t="s">
        <v>1447</v>
      </c>
      <c r="C19" s="17" t="s">
        <v>1448</v>
      </c>
      <c r="D19" s="16" t="s">
        <v>1449</v>
      </c>
    </row>
    <row r="20" customFormat="false" ht="15" hidden="false" customHeight="false" outlineLevel="0" collapsed="false">
      <c r="A20" s="16" t="s">
        <v>1434</v>
      </c>
      <c r="B20" s="16" t="s">
        <v>1450</v>
      </c>
      <c r="C20" s="17" t="s">
        <v>1451</v>
      </c>
      <c r="D20" s="16" t="s">
        <v>1452</v>
      </c>
    </row>
    <row r="21" customFormat="false" ht="15" hidden="false" customHeight="false" outlineLevel="0" collapsed="false">
      <c r="A21" s="16" t="s">
        <v>1453</v>
      </c>
      <c r="B21" s="16" t="s">
        <v>1454</v>
      </c>
      <c r="C21" s="17" t="s">
        <v>1455</v>
      </c>
      <c r="D21" s="16" t="s">
        <v>1456</v>
      </c>
    </row>
    <row r="22" customFormat="false" ht="15" hidden="false" customHeight="false" outlineLevel="0" collapsed="false">
      <c r="A22" s="16" t="s">
        <v>1453</v>
      </c>
      <c r="B22" s="16" t="s">
        <v>1457</v>
      </c>
      <c r="C22" s="17" t="s">
        <v>1458</v>
      </c>
      <c r="D22" s="16" t="s">
        <v>1459</v>
      </c>
    </row>
    <row r="23" customFormat="false" ht="15" hidden="false" customHeight="false" outlineLevel="0" collapsed="false">
      <c r="A23" s="16" t="s">
        <v>1453</v>
      </c>
      <c r="B23" s="16" t="s">
        <v>1460</v>
      </c>
      <c r="C23" s="17" t="s">
        <v>1461</v>
      </c>
      <c r="D23" s="16" t="s">
        <v>1462</v>
      </c>
    </row>
    <row r="24" customFormat="false" ht="15" hidden="false" customHeight="false" outlineLevel="0" collapsed="false">
      <c r="A24" s="16" t="s">
        <v>1453</v>
      </c>
      <c r="B24" s="16" t="s">
        <v>1463</v>
      </c>
      <c r="C24" s="17" t="s">
        <v>1464</v>
      </c>
      <c r="D24" s="16" t="s">
        <v>1465</v>
      </c>
    </row>
    <row r="25" customFormat="false" ht="23.85" hidden="false" customHeight="false" outlineLevel="0" collapsed="false">
      <c r="A25" s="16" t="s">
        <v>1453</v>
      </c>
      <c r="B25" s="16" t="s">
        <v>1466</v>
      </c>
      <c r="C25" s="17" t="s">
        <v>1467</v>
      </c>
      <c r="D25" s="16" t="s">
        <v>1468</v>
      </c>
    </row>
    <row r="26" customFormat="false" ht="15" hidden="false" customHeight="false" outlineLevel="0" collapsed="false">
      <c r="A26" s="16" t="s">
        <v>1453</v>
      </c>
      <c r="B26" s="16" t="s">
        <v>1469</v>
      </c>
      <c r="C26" s="17" t="s">
        <v>1470</v>
      </c>
      <c r="D26" s="16" t="s">
        <v>1471</v>
      </c>
    </row>
    <row r="27" customFormat="false" ht="15" hidden="false" customHeight="false" outlineLevel="0" collapsed="false">
      <c r="A27" s="16" t="s">
        <v>1453</v>
      </c>
      <c r="B27" s="16" t="s">
        <v>1472</v>
      </c>
      <c r="C27" s="17" t="s">
        <v>1473</v>
      </c>
      <c r="D27" s="16" t="s">
        <v>1474</v>
      </c>
    </row>
    <row r="28" customFormat="false" ht="15" hidden="false" customHeight="false" outlineLevel="0" collapsed="false">
      <c r="A28" s="16" t="s">
        <v>1475</v>
      </c>
      <c r="B28" s="16" t="s">
        <v>1476</v>
      </c>
      <c r="C28" s="17" t="s">
        <v>1306</v>
      </c>
      <c r="D28" s="16" t="s">
        <v>1477</v>
      </c>
    </row>
  </sheetData>
  <hyperlinks>
    <hyperlink ref="C5" r:id="rId1" display="https://ossium.in/"/>
    <hyperlink ref="C6" r:id="rId2" display="https://dev.to/yakhilesh/20-open-source-internship-programs-updated-for-2026-5h32"/>
    <hyperlink ref="C7" r:id="rId3" display="https://github.com/vikas0799/List-of-OpenSource-Programs"/>
    <hyperlink ref="C8" r:id="rId4" display="https://summerofcode.withgoogle.com/"/>
    <hyperlink ref="C9" r:id="rId5" location="projects_all" display="https://mentorship.lfx.linuxfoundation.org/#projects_all"/>
    <hyperlink ref="C10" r:id="rId6" display="https://developers.google.com/open-source/gsoc/timeline"/>
    <hyperlink ref="C11" r:id="rId7" display="https://developers.google.com/open-source/gsoc/resources/ai_guidance"/>
    <hyperlink ref="C12" r:id="rId8" display="https://github.com/cncf/mentoring"/>
    <hyperlink ref="C13" r:id="rId9" display="https://docs.linuxfoundation.org/lfx/mentorship/mentee-stipends"/>
    <hyperlink ref="C14" r:id="rId10" display="https://docs.linuxfoundation.org/lfx/mentorship/mentorship-program-timelines"/>
    <hyperlink ref="C15" r:id="rId11" display="https://goodfirstissues.com/"/>
    <hyperlink ref="C16" r:id="rId12" display="https://up-for-grabs.net/"/>
    <hyperlink ref="C17" r:id="rId13" display="https://www.firsttimersonly.com/"/>
    <hyperlink ref="C18" r:id="rId14" display="https://www.codetriage.com/"/>
    <hyperlink ref="C19" r:id="rId15" display="https://github.com/MunGell/awesome-for-beginners"/>
    <hyperlink ref="C20" r:id="rId16" display="https://github.com/VincenzoImp/gsoc-2026-explorer"/>
    <hyperlink ref="C21" r:id="rId17" display="https://git-scm.com/book"/>
    <hyperlink ref="C22" r:id="rId18" display="https://learngitbranching.js.org/"/>
    <hyperlink ref="C23" r:id="rId19" display="https://skills.github.com/"/>
    <hyperlink ref="C24" r:id="rId20" display="https://opensource.guide/how-to-contribute/"/>
    <hyperlink ref="C25" r:id="rId21" display="https://training.linuxfoundation.org/training/a-beginners-guide-to-linux-kernel-development-lfd103/"/>
    <hyperlink ref="C26" r:id="rId22" display="https://www.conventionalcommits.org/"/>
    <hyperlink ref="C27" r:id="rId23" display="https://developercertificate.org/"/>
    <hyperlink ref="C28" r:id="rId24" display="https://github.com/melissawm/open-source-ai-contribution-polic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2026-10-01T02:30:50Z</dcterms:created>
  <dc:creator>openpyxl</dc:creator>
  <dc:description/>
  <dc:language>en-US</dc:language>
  <cp:lastModifiedBy/>
  <dcterms:modified xsi:type="dcterms:W3CDTF">2026-10-01T02:30:50Z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